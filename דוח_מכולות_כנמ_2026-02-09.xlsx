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מכולות" sheetId="1" state="visible" r:id="rId1"/>
    <sheet xmlns:r="http://schemas.openxmlformats.org/officeDocument/2006/relationships" name="כל המק&quot;טים" sheetId="2" state="visible" r:id="rId2"/>
    <sheet xmlns:r="http://schemas.openxmlformats.org/officeDocument/2006/relationships" name="PO240350" sheetId="3" state="visible" r:id="rId3"/>
    <sheet xmlns:r="http://schemas.openxmlformats.org/officeDocument/2006/relationships" name="PO240353" sheetId="4" state="visible" r:id="rId4"/>
    <sheet xmlns:r="http://schemas.openxmlformats.org/officeDocument/2006/relationships" name="PO250271" sheetId="5" state="visible" r:id="rId5"/>
    <sheet xmlns:r="http://schemas.openxmlformats.org/officeDocument/2006/relationships" name="PO250272" sheetId="6" state="visible" r:id="rId6"/>
    <sheet xmlns:r="http://schemas.openxmlformats.org/officeDocument/2006/relationships" name="PO250299" sheetId="7" state="visible" r:id="rId7"/>
    <sheet xmlns:r="http://schemas.openxmlformats.org/officeDocument/2006/relationships" name="PO250307" sheetId="8" state="visible" r:id="rId8"/>
    <sheet xmlns:r="http://schemas.openxmlformats.org/officeDocument/2006/relationships" name="PO250294" sheetId="9" state="visible" r:id="rId9"/>
    <sheet xmlns:r="http://schemas.openxmlformats.org/officeDocument/2006/relationships" name="PO250295" sheetId="10" state="visible" r:id="rId10"/>
    <sheet xmlns:r="http://schemas.openxmlformats.org/officeDocument/2006/relationships" name="PO250296" sheetId="11" state="visible" r:id="rId11"/>
    <sheet xmlns:r="http://schemas.openxmlformats.org/officeDocument/2006/relationships" name="PO250344" sheetId="12" state="visible" r:id="rId12"/>
    <sheet xmlns:r="http://schemas.openxmlformats.org/officeDocument/2006/relationships" name="PO250345" sheetId="13" state="visible" r:id="rId13"/>
    <sheet xmlns:r="http://schemas.openxmlformats.org/officeDocument/2006/relationships" name="PO250346" sheetId="14" state="visible" r:id="rId14"/>
    <sheet xmlns:r="http://schemas.openxmlformats.org/officeDocument/2006/relationships" name="PO250342" sheetId="15" state="visible" r:id="rId15"/>
    <sheet xmlns:r="http://schemas.openxmlformats.org/officeDocument/2006/relationships" name="PO250381" sheetId="16" state="visible" r:id="rId16"/>
    <sheet xmlns:r="http://schemas.openxmlformats.org/officeDocument/2006/relationships" name="PO250428" sheetId="17" state="visible" r:id="rId17"/>
    <sheet xmlns:r="http://schemas.openxmlformats.org/officeDocument/2006/relationships" name="PO250476" sheetId="18" state="visible" r:id="rId18"/>
    <sheet xmlns:r="http://schemas.openxmlformats.org/officeDocument/2006/relationships" name="PO250477" sheetId="19" state="visible" r:id="rId19"/>
    <sheet xmlns:r="http://schemas.openxmlformats.org/officeDocument/2006/relationships" name="PO250478" sheetId="20" state="visible" r:id="rId20"/>
    <sheet xmlns:r="http://schemas.openxmlformats.org/officeDocument/2006/relationships" name="PO250479" sheetId="21" state="visible" r:id="rId21"/>
    <sheet xmlns:r="http://schemas.openxmlformats.org/officeDocument/2006/relationships" name="PO250483" sheetId="22" state="visible" r:id="rId22"/>
    <sheet xmlns:r="http://schemas.openxmlformats.org/officeDocument/2006/relationships" name="PO250379" sheetId="23" state="visible" r:id="rId23"/>
    <sheet xmlns:r="http://schemas.openxmlformats.org/officeDocument/2006/relationships" name="PO250388" sheetId="24" state="visible" r:id="rId24"/>
    <sheet xmlns:r="http://schemas.openxmlformats.org/officeDocument/2006/relationships" name="PO250501" sheetId="25" state="visible" r:id="rId25"/>
    <sheet xmlns:r="http://schemas.openxmlformats.org/officeDocument/2006/relationships" name="PO250389" sheetId="26" state="visible" r:id="rId26"/>
    <sheet xmlns:r="http://schemas.openxmlformats.org/officeDocument/2006/relationships" name="PO250500" sheetId="27" state="visible" r:id="rId27"/>
    <sheet xmlns:r="http://schemas.openxmlformats.org/officeDocument/2006/relationships" name="PO250502" sheetId="28" state="visible" r:id="rId28"/>
    <sheet xmlns:r="http://schemas.openxmlformats.org/officeDocument/2006/relationships" name="PO250484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₪#,##0.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2C3E50"/>
      <sz val="20"/>
    </font>
    <font>
      <color rgb="007F8C8D"/>
      <sz val="12"/>
    </font>
    <font>
      <name val="Arial"/>
      <b val="1"/>
      <color rgb="00C0392B"/>
      <sz val="28"/>
    </font>
    <font>
      <name val="Arial"/>
      <b val="1"/>
      <color rgb="00333333"/>
      <sz val="14"/>
    </font>
    <font>
      <name val="Arial"/>
      <b val="1"/>
      <color rgb="0027AE60"/>
      <sz val="28"/>
    </font>
    <font>
      <name val="Arial"/>
      <b val="1"/>
      <color rgb="002C3E50"/>
      <sz val="28"/>
    </font>
    <font>
      <name val="Arial"/>
      <b val="1"/>
      <color rgb="00FFFFFF"/>
      <sz val="14"/>
    </font>
    <font>
      <name val="Arial"/>
      <color rgb="00333333"/>
      <sz val="14"/>
    </font>
    <font>
      <name val="Arial"/>
      <b val="1"/>
      <sz val="14"/>
    </font>
    <font>
      <name val="Arial"/>
      <b val="1"/>
      <color rgb="00C0392B"/>
      <sz val="16"/>
    </font>
    <font>
      <name val="Arial"/>
      <b val="1"/>
      <color rgb="0027AE60"/>
      <sz val="14"/>
    </font>
    <font>
      <i val="1"/>
      <color rgb="00666666"/>
      <sz val="11"/>
    </font>
    <font>
      <name val="Arial"/>
      <b val="1"/>
      <color rgb="00C0392B"/>
      <sz val="14"/>
    </font>
    <font>
      <i val="1"/>
      <color rgb="0027AE60"/>
      <sz val="12"/>
    </font>
  </fonts>
  <fills count="16">
    <fill>
      <patternFill/>
    </fill>
    <fill>
      <patternFill patternType="gray125"/>
    </fill>
    <fill>
      <patternFill patternType="solid">
        <fgColor rgb="00FADBD8"/>
        <bgColor rgb="00FADBD8"/>
      </patternFill>
    </fill>
    <fill>
      <patternFill patternType="solid">
        <fgColor rgb="00FFEBEE"/>
        <bgColor rgb="00FFEBEE"/>
      </patternFill>
    </fill>
    <fill>
      <patternFill patternType="solid">
        <fgColor rgb="00D5F5E3"/>
        <bgColor rgb="00D5F5E3"/>
      </patternFill>
    </fill>
    <fill>
      <patternFill patternType="solid">
        <fgColor rgb="00EBF5FB"/>
        <bgColor rgb="00EBF5FB"/>
      </patternFill>
    </fill>
    <fill>
      <patternFill patternType="solid">
        <fgColor rgb="00C0392B"/>
        <bgColor rgb="00C0392B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1E8449"/>
        <bgColor rgb="001E8449"/>
      </patternFill>
    </fill>
    <fill>
      <patternFill patternType="solid">
        <fgColor rgb="00FFF3E0"/>
        <bgColor rgb="00FFF3E0"/>
      </patternFill>
    </fill>
    <fill>
      <patternFill patternType="solid">
        <fgColor rgb="00FFFF00"/>
        <bgColor rgb="00FFFF00"/>
      </patternFill>
    </fill>
    <fill>
      <patternFill patternType="solid">
        <fgColor rgb="00C8E6C9"/>
        <bgColor rgb="00C8E6C9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5B768A"/>
        <bgColor rgb="005B768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0" fontId="7" fillId="7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0" fillId="8" borderId="1" pivotButton="0" quotePrefix="0" xfId="0"/>
    <xf numFmtId="0" fontId="7" fillId="9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5" fontId="10" fillId="11" borderId="2" applyAlignment="1" pivotButton="0" quotePrefix="0" xfId="0">
      <alignment horizontal="center"/>
    </xf>
    <xf numFmtId="164" fontId="11" fillId="4" borderId="1" applyAlignment="1" pivotButton="0" quotePrefix="0" xfId="0">
      <alignment horizontal="center"/>
    </xf>
    <xf numFmtId="166" fontId="8" fillId="4" borderId="1" applyAlignment="1" pivotButton="0" quotePrefix="0" xfId="0">
      <alignment horizontal="center"/>
    </xf>
    <xf numFmtId="166" fontId="11" fillId="4" borderId="1" applyAlignment="1" pivotButton="0" quotePrefix="0" xfId="0">
      <alignment horizontal="center"/>
    </xf>
    <xf numFmtId="166" fontId="11" fillId="12" borderId="2" applyAlignment="1" pivotButton="0" quotePrefix="0" xfId="0">
      <alignment horizontal="center"/>
    </xf>
    <xf numFmtId="165" fontId="8" fillId="13" borderId="1" applyAlignment="1" pivotButton="0" quotePrefix="0" xfId="0">
      <alignment horizontal="center"/>
    </xf>
    <xf numFmtId="0" fontId="8" fillId="14" borderId="1" applyAlignment="1" pivotButton="0" quotePrefix="0" xfId="0">
      <alignment horizontal="center"/>
    </xf>
    <xf numFmtId="0" fontId="0" fillId="7" borderId="1" pivotButton="0" quotePrefix="0" xfId="0"/>
    <xf numFmtId="3" fontId="7" fillId="7" borderId="1" applyAlignment="1" pivotButton="0" quotePrefix="0" xfId="0">
      <alignment horizontal="center"/>
    </xf>
    <xf numFmtId="165" fontId="7" fillId="7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pivotButton="0" quotePrefix="0" xfId="0"/>
    <xf numFmtId="0" fontId="7" fillId="15" borderId="1" applyAlignment="1" pivotButton="0" quotePrefix="0" xfId="0">
      <alignment horizontal="center"/>
    </xf>
    <xf numFmtId="0" fontId="0" fillId="15" borderId="1" pivotButton="0" quotePrefix="0" xfId="0"/>
    <xf numFmtId="167" fontId="8" fillId="5" borderId="1" pivotButton="0" quotePrefix="0" xfId="0"/>
    <xf numFmtId="0" fontId="8" fillId="5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5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5" customWidth="1" min="8" max="8"/>
  </cols>
  <sheetData>
    <row r="2">
      <c r="B2" s="1" t="inlineStr">
        <is>
          <t>🚢 דוח מכולות Ardo - Gaya Foods</t>
        </is>
      </c>
    </row>
    <row r="3">
      <c r="B3" s="2" t="inlineStr">
        <is>
          <t>📅 09.02.2026 | 💵 שער: 3.125</t>
        </is>
      </c>
    </row>
    <row r="5">
      <c r="B5" s="3" t="inlineStr">
        <is>
          <t>15</t>
        </is>
      </c>
      <c r="D5" s="3" t="inlineStr">
        <is>
          <t>$1213K</t>
        </is>
      </c>
      <c r="F5" s="4" t="inlineStr">
        <is>
          <t>15 🔴</t>
        </is>
      </c>
    </row>
    <row r="6"/>
    <row r="7">
      <c r="B7" s="5" t="inlineStr">
        <is>
          <t>⚓ בנמל</t>
        </is>
      </c>
      <c r="D7" s="5" t="inlineStr">
        <is>
          <t>FOB בנמל</t>
        </is>
      </c>
      <c r="F7" s="5" t="inlineStr">
        <is>
          <t>קריטי (&gt;30 יום)</t>
        </is>
      </c>
    </row>
    <row r="9">
      <c r="B9" s="6" t="inlineStr">
        <is>
          <t>12</t>
        </is>
      </c>
      <c r="D9" s="6" t="inlineStr">
        <is>
          <t>$860K</t>
        </is>
      </c>
      <c r="F9" s="7" t="inlineStr">
        <is>
          <t>27</t>
        </is>
      </c>
    </row>
    <row r="10"/>
    <row r="11">
      <c r="B11" s="5" t="inlineStr">
        <is>
          <t>🚢 באוניה</t>
        </is>
      </c>
      <c r="D11" s="5" t="inlineStr">
        <is>
          <t>FOB באוניה</t>
        </is>
      </c>
      <c r="F11" s="5" t="inlineStr">
        <is>
          <t>סה"כ מכולות</t>
        </is>
      </c>
    </row>
    <row r="14">
      <c r="B14" s="8" t="inlineStr">
        <is>
          <t>⚓ בנמל - ממתינות לשחרור (15 מכולות | $1,213,199)</t>
        </is>
      </c>
      <c r="C14" s="9" t="n"/>
      <c r="D14" s="9" t="n"/>
      <c r="E14" s="9" t="n"/>
      <c r="F14" s="9" t="n"/>
      <c r="G14" s="9" t="n"/>
      <c r="H14" s="9" t="n"/>
    </row>
    <row r="15">
      <c r="B15" s="10" t="inlineStr">
        <is>
          <t>#</t>
        </is>
      </c>
      <c r="C15" s="10" t="inlineStr">
        <is>
          <t>הזמנה</t>
        </is>
      </c>
      <c r="D15" s="10" t="inlineStr">
        <is>
          <t>מכולה</t>
        </is>
      </c>
      <c r="E15" s="10" t="inlineStr">
        <is>
          <t>ETA</t>
        </is>
      </c>
      <c r="F15" s="10" t="inlineStr">
        <is>
          <t>FOB $</t>
        </is>
      </c>
      <c r="G15" s="10" t="inlineStr">
        <is>
          <t>ימים בנמל</t>
        </is>
      </c>
      <c r="H15" s="10" t="inlineStr">
        <is>
          <t>גיליון</t>
        </is>
      </c>
    </row>
    <row r="16">
      <c r="B16" s="11" t="n">
        <v>1</v>
      </c>
      <c r="C16" s="11" t="inlineStr">
        <is>
          <t>PO240350</t>
        </is>
      </c>
      <c r="D16" s="11" t="inlineStr">
        <is>
          <t>RFCU5071954</t>
        </is>
      </c>
      <c r="E16" s="11" t="inlineStr">
        <is>
          <t>22.10.24</t>
        </is>
      </c>
      <c r="F16" s="11" t="inlineStr">
        <is>
          <t>$72,240</t>
        </is>
      </c>
      <c r="G16" s="12" t="inlineStr">
        <is>
          <t>475</t>
        </is>
      </c>
      <c r="H16" s="11" t="inlineStr">
        <is>
          <t>→ PO240350</t>
        </is>
      </c>
    </row>
    <row r="17">
      <c r="B17" s="11" t="n">
        <v>2</v>
      </c>
      <c r="C17" s="11" t="inlineStr">
        <is>
          <t>PO240353</t>
        </is>
      </c>
      <c r="D17" s="11" t="inlineStr">
        <is>
          <t>ZCSU7209965</t>
        </is>
      </c>
      <c r="E17" s="11" t="inlineStr">
        <is>
          <t>22.10.24</t>
        </is>
      </c>
      <c r="F17" s="11" t="inlineStr">
        <is>
          <t>$81,480</t>
        </is>
      </c>
      <c r="G17" s="12" t="inlineStr">
        <is>
          <t>475</t>
        </is>
      </c>
      <c r="H17" s="11" t="inlineStr">
        <is>
          <t>→ PO240353</t>
        </is>
      </c>
    </row>
    <row r="18">
      <c r="B18" s="11" t="n">
        <v>3</v>
      </c>
      <c r="C18" s="11" t="inlineStr">
        <is>
          <t>PO250271</t>
        </is>
      </c>
      <c r="D18" s="11" t="inlineStr">
        <is>
          <t>ZCSU7774502</t>
        </is>
      </c>
      <c r="E18" s="11" t="inlineStr">
        <is>
          <t>17.09.25</t>
        </is>
      </c>
      <c r="F18" s="11" t="inlineStr">
        <is>
          <t>$79,860</t>
        </is>
      </c>
      <c r="G18" s="12" t="inlineStr">
        <is>
          <t>145</t>
        </is>
      </c>
      <c r="H18" s="11" t="inlineStr">
        <is>
          <t>→ PO250271</t>
        </is>
      </c>
    </row>
    <row r="19">
      <c r="B19" s="11" t="n">
        <v>4</v>
      </c>
      <c r="C19" s="11" t="inlineStr">
        <is>
          <t>PO250272</t>
        </is>
      </c>
      <c r="D19" s="11" t="inlineStr">
        <is>
          <t>ZCSU7570962</t>
        </is>
      </c>
      <c r="E19" s="11" t="inlineStr">
        <is>
          <t>17.09.25</t>
        </is>
      </c>
      <c r="F19" s="11" t="inlineStr">
        <is>
          <t>$79,860</t>
        </is>
      </c>
      <c r="G19" s="12" t="inlineStr">
        <is>
          <t>145</t>
        </is>
      </c>
      <c r="H19" s="11" t="inlineStr">
        <is>
          <t>→ PO250272</t>
        </is>
      </c>
    </row>
    <row r="20">
      <c r="B20" s="11" t="n">
        <v>5</v>
      </c>
      <c r="C20" s="11" t="inlineStr">
        <is>
          <t>PO250299</t>
        </is>
      </c>
      <c r="D20" s="11" t="inlineStr">
        <is>
          <t>ZCSU6764686</t>
        </is>
      </c>
      <c r="E20" s="11" t="inlineStr">
        <is>
          <t>27.10.25</t>
        </is>
      </c>
      <c r="F20" s="11" t="inlineStr">
        <is>
          <t>$81,648</t>
        </is>
      </c>
      <c r="G20" s="12" t="inlineStr">
        <is>
          <t>105</t>
        </is>
      </c>
      <c r="H20" s="11" t="inlineStr">
        <is>
          <t>→ PO250299</t>
        </is>
      </c>
    </row>
    <row r="21">
      <c r="B21" s="11" t="n">
        <v>6</v>
      </c>
      <c r="C21" s="11" t="inlineStr">
        <is>
          <t>PO250307</t>
        </is>
      </c>
      <c r="D21" s="11" t="inlineStr">
        <is>
          <t>TCNU2311687</t>
        </is>
      </c>
      <c r="E21" s="11" t="inlineStr">
        <is>
          <t>27.10.25</t>
        </is>
      </c>
      <c r="F21" s="11" t="inlineStr">
        <is>
          <t>$81,648</t>
        </is>
      </c>
      <c r="G21" s="12" t="inlineStr">
        <is>
          <t>105</t>
        </is>
      </c>
      <c r="H21" s="11" t="inlineStr">
        <is>
          <t>→ PO250307</t>
        </is>
      </c>
    </row>
    <row r="22">
      <c r="B22" s="11" t="n">
        <v>7</v>
      </c>
      <c r="C22" s="11" t="inlineStr">
        <is>
          <t>PO250294</t>
        </is>
      </c>
      <c r="D22" s="11" t="inlineStr">
        <is>
          <t>ZCSU7075341</t>
        </is>
      </c>
      <c r="E22" s="11" t="inlineStr">
        <is>
          <t>06.11.25</t>
        </is>
      </c>
      <c r="F22" s="11" t="inlineStr">
        <is>
          <t>$79,860</t>
        </is>
      </c>
      <c r="G22" s="12" t="inlineStr">
        <is>
          <t>95</t>
        </is>
      </c>
      <c r="H22" s="11" t="inlineStr">
        <is>
          <t>→ PO250294</t>
        </is>
      </c>
    </row>
    <row r="23">
      <c r="B23" s="11" t="n">
        <v>8</v>
      </c>
      <c r="C23" s="11" t="inlineStr">
        <is>
          <t>PO250295</t>
        </is>
      </c>
      <c r="D23" s="11" t="inlineStr">
        <is>
          <t>ZCSU6624318</t>
        </is>
      </c>
      <c r="E23" s="11" t="inlineStr">
        <is>
          <t>06.11.25</t>
        </is>
      </c>
      <c r="F23" s="11" t="inlineStr">
        <is>
          <t>$79,860</t>
        </is>
      </c>
      <c r="G23" s="12" t="inlineStr">
        <is>
          <t>95</t>
        </is>
      </c>
      <c r="H23" s="11" t="inlineStr">
        <is>
          <t>→ PO250295</t>
        </is>
      </c>
    </row>
    <row r="24">
      <c r="B24" s="11" t="n">
        <v>9</v>
      </c>
      <c r="C24" s="11" t="inlineStr">
        <is>
          <t>PO250296</t>
        </is>
      </c>
      <c r="D24" s="11" t="inlineStr">
        <is>
          <t>FSCU8087454</t>
        </is>
      </c>
      <c r="E24" s="11" t="inlineStr">
        <is>
          <t>06.11.25</t>
        </is>
      </c>
      <c r="F24" s="11" t="inlineStr">
        <is>
          <t>$66,412</t>
        </is>
      </c>
      <c r="G24" s="12" t="inlineStr">
        <is>
          <t>95</t>
        </is>
      </c>
      <c r="H24" s="11" t="inlineStr">
        <is>
          <t>→ PO250296</t>
        </is>
      </c>
    </row>
    <row r="25">
      <c r="B25" s="11" t="n">
        <v>10</v>
      </c>
      <c r="C25" s="11" t="inlineStr">
        <is>
          <t>PO250344</t>
        </is>
      </c>
      <c r="D25" s="11" t="inlineStr">
        <is>
          <t>MSMU5365902</t>
        </is>
      </c>
      <c r="E25" s="11" t="inlineStr">
        <is>
          <t>07.12.25</t>
        </is>
      </c>
      <c r="F25" s="11" t="inlineStr">
        <is>
          <t>$81,648</t>
        </is>
      </c>
      <c r="G25" s="12" t="inlineStr">
        <is>
          <t>64</t>
        </is>
      </c>
      <c r="H25" s="11" t="inlineStr">
        <is>
          <t>→ PO250344</t>
        </is>
      </c>
    </row>
    <row r="26">
      <c r="B26" s="11" t="n">
        <v>11</v>
      </c>
      <c r="C26" s="11" t="inlineStr">
        <is>
          <t>PO250345</t>
        </is>
      </c>
      <c r="D26" s="11" t="inlineStr">
        <is>
          <t>ZCSU7578454</t>
        </is>
      </c>
      <c r="E26" s="11" t="inlineStr">
        <is>
          <t>16.12.25</t>
        </is>
      </c>
      <c r="F26" s="11" t="inlineStr">
        <is>
          <t>$81,648</t>
        </is>
      </c>
      <c r="G26" s="12" t="inlineStr">
        <is>
          <t>55</t>
        </is>
      </c>
      <c r="H26" s="11" t="inlineStr">
        <is>
          <t>→ PO250345</t>
        </is>
      </c>
    </row>
    <row r="27">
      <c r="B27" s="11" t="n">
        <v>12</v>
      </c>
      <c r="C27" s="11" t="inlineStr">
        <is>
          <t>PO250346</t>
        </is>
      </c>
      <c r="D27" s="11" t="inlineStr">
        <is>
          <t>ZCSU7951629</t>
        </is>
      </c>
      <c r="E27" s="11" t="inlineStr">
        <is>
          <t>16.12.25</t>
        </is>
      </c>
      <c r="F27" s="11" t="inlineStr">
        <is>
          <t>$81,648</t>
        </is>
      </c>
      <c r="G27" s="12" t="inlineStr">
        <is>
          <t>55</t>
        </is>
      </c>
      <c r="H27" s="11" t="inlineStr">
        <is>
          <t>→ PO250346</t>
        </is>
      </c>
    </row>
    <row r="28">
      <c r="B28" s="11" t="n">
        <v>13</v>
      </c>
      <c r="C28" s="11" t="inlineStr">
        <is>
          <t>PO250342</t>
        </is>
      </c>
      <c r="D28" s="11" t="inlineStr">
        <is>
          <t>JXLU6429836</t>
        </is>
      </c>
      <c r="E28" s="11" t="inlineStr">
        <is>
          <t>16.12.25</t>
        </is>
      </c>
      <c r="F28" s="11" t="inlineStr">
        <is>
          <t>$88,544</t>
        </is>
      </c>
      <c r="G28" s="12" t="inlineStr">
        <is>
          <t>55</t>
        </is>
      </c>
      <c r="H28" s="11" t="inlineStr">
        <is>
          <t>→ PO250342</t>
        </is>
      </c>
    </row>
    <row r="29">
      <c r="B29" s="11" t="n">
        <v>14</v>
      </c>
      <c r="C29" s="11" t="inlineStr">
        <is>
          <t>PO250381</t>
        </is>
      </c>
      <c r="D29" s="11" t="inlineStr">
        <is>
          <t>JXLU6177138</t>
        </is>
      </c>
      <c r="E29" s="11" t="inlineStr">
        <is>
          <t>22.12.25</t>
        </is>
      </c>
      <c r="F29" s="11" t="inlineStr">
        <is>
          <t>$88,020</t>
        </is>
      </c>
      <c r="G29" s="12" t="inlineStr">
        <is>
          <t>49</t>
        </is>
      </c>
      <c r="H29" s="11" t="inlineStr">
        <is>
          <t>→ PO250381</t>
        </is>
      </c>
    </row>
    <row r="30">
      <c r="B30" s="11" t="n">
        <v>15</v>
      </c>
      <c r="C30" s="11" t="inlineStr">
        <is>
          <t>PO250428</t>
        </is>
      </c>
      <c r="D30" s="11" t="inlineStr">
        <is>
          <t>ZCSU7511738</t>
        </is>
      </c>
      <c r="E30" s="11" t="inlineStr">
        <is>
          <t>03.01.26</t>
        </is>
      </c>
      <c r="F30" s="11" t="inlineStr">
        <is>
          <t>$88,823</t>
        </is>
      </c>
      <c r="G30" s="12" t="inlineStr">
        <is>
          <t>37</t>
        </is>
      </c>
      <c r="H30" s="11" t="inlineStr">
        <is>
          <t>→ PO250428</t>
        </is>
      </c>
    </row>
    <row r="32">
      <c r="B32" s="13" t="inlineStr">
        <is>
          <t>🚢 באוניה - בדרך לישראל (12 מכולות | $859,672)</t>
        </is>
      </c>
      <c r="C32" s="14" t="n"/>
      <c r="D32" s="14" t="n"/>
      <c r="E32" s="14" t="n"/>
      <c r="F32" s="14" t="n"/>
      <c r="G32" s="14" t="n"/>
      <c r="H32" s="14" t="n"/>
    </row>
    <row r="33">
      <c r="B33" s="15" t="inlineStr">
        <is>
          <t>#</t>
        </is>
      </c>
      <c r="C33" s="15" t="inlineStr">
        <is>
          <t>הזמנה</t>
        </is>
      </c>
      <c r="D33" s="15" t="inlineStr">
        <is>
          <t>מכולה</t>
        </is>
      </c>
      <c r="E33" s="15" t="inlineStr">
        <is>
          <t>ETA צפוי</t>
        </is>
      </c>
      <c r="F33" s="15" t="inlineStr">
        <is>
          <t>FOB $</t>
        </is>
      </c>
      <c r="G33" s="15" t="inlineStr">
        <is>
          <t>ימים להגעה</t>
        </is>
      </c>
      <c r="H33" s="15" t="inlineStr">
        <is>
          <t>גיליון</t>
        </is>
      </c>
    </row>
    <row r="34">
      <c r="B34" s="11" t="n">
        <v>1</v>
      </c>
      <c r="C34" s="11" t="inlineStr">
        <is>
          <t>PO250476</t>
        </is>
      </c>
      <c r="D34" s="11" t="inlineStr">
        <is>
          <t>BEAU5042963</t>
        </is>
      </c>
      <c r="E34" s="11" t="inlineStr">
        <is>
          <t>08.02.26</t>
        </is>
      </c>
      <c r="F34" s="11" t="inlineStr">
        <is>
          <t>$87,108</t>
        </is>
      </c>
      <c r="G34" s="16" t="inlineStr">
        <is>
          <t>0</t>
        </is>
      </c>
      <c r="H34" s="11" t="inlineStr">
        <is>
          <t>→ PO250476</t>
        </is>
      </c>
    </row>
    <row r="35">
      <c r="B35" s="11" t="n">
        <v>2</v>
      </c>
      <c r="C35" s="11" t="inlineStr">
        <is>
          <t>PO250477</t>
        </is>
      </c>
      <c r="D35" s="11" t="inlineStr">
        <is>
          <t>ZCSU6837381</t>
        </is>
      </c>
      <c r="E35" s="11" t="inlineStr">
        <is>
          <t>08.02.26</t>
        </is>
      </c>
      <c r="F35" s="11" t="inlineStr">
        <is>
          <t>$81,408</t>
        </is>
      </c>
      <c r="G35" s="16" t="inlineStr">
        <is>
          <t>0</t>
        </is>
      </c>
      <c r="H35" s="11" t="inlineStr">
        <is>
          <t>→ PO250477</t>
        </is>
      </c>
    </row>
    <row r="36">
      <c r="B36" s="11" t="n">
        <v>3</v>
      </c>
      <c r="C36" s="11" t="inlineStr">
        <is>
          <t>PO250478</t>
        </is>
      </c>
      <c r="D36" s="11" t="inlineStr">
        <is>
          <t>ZCSU7795974</t>
        </is>
      </c>
      <c r="E36" s="11" t="inlineStr">
        <is>
          <t>08.02.26</t>
        </is>
      </c>
      <c r="F36" s="11" t="inlineStr">
        <is>
          <t>$78,120</t>
        </is>
      </c>
      <c r="G36" s="16" t="inlineStr">
        <is>
          <t>0</t>
        </is>
      </c>
      <c r="H36" s="11" t="inlineStr">
        <is>
          <t>→ PO250478</t>
        </is>
      </c>
    </row>
    <row r="37">
      <c r="B37" s="11" t="n">
        <v>4</v>
      </c>
      <c r="C37" s="11" t="inlineStr">
        <is>
          <t>PO250479</t>
        </is>
      </c>
      <c r="D37" s="11" t="inlineStr">
        <is>
          <t>TEMU6844880</t>
        </is>
      </c>
      <c r="E37" s="11" t="inlineStr">
        <is>
          <t>08.02.26</t>
        </is>
      </c>
      <c r="F37" s="11" t="inlineStr">
        <is>
          <t>$71,148</t>
        </is>
      </c>
      <c r="G37" s="16" t="inlineStr">
        <is>
          <t>0</t>
        </is>
      </c>
      <c r="H37" s="11" t="inlineStr">
        <is>
          <t>→ PO250479</t>
        </is>
      </c>
    </row>
    <row r="38">
      <c r="B38" s="11" t="n">
        <v>5</v>
      </c>
      <c r="C38" s="11" t="inlineStr">
        <is>
          <t>PO250483</t>
        </is>
      </c>
      <c r="D38" s="11" t="inlineStr">
        <is>
          <t>ZCSU7232501</t>
        </is>
      </c>
      <c r="E38" s="11" t="inlineStr">
        <is>
          <t>08.02.26</t>
        </is>
      </c>
      <c r="F38" s="11" t="inlineStr">
        <is>
          <t>$81,408</t>
        </is>
      </c>
      <c r="G38" s="16" t="inlineStr">
        <is>
          <t>0</t>
        </is>
      </c>
      <c r="H38" s="11" t="inlineStr">
        <is>
          <t>→ PO250483</t>
        </is>
      </c>
    </row>
    <row r="39">
      <c r="B39" s="11" t="n">
        <v>6</v>
      </c>
      <c r="C39" s="11" t="inlineStr">
        <is>
          <t>PO250379</t>
        </is>
      </c>
      <c r="D39" s="11" t="inlineStr">
        <is>
          <t>-</t>
        </is>
      </c>
      <c r="E39" s="11" t="inlineStr">
        <is>
          <t>28.02.26</t>
        </is>
      </c>
      <c r="F39" s="11" t="inlineStr">
        <is>
          <t>$63,640</t>
        </is>
      </c>
      <c r="G39" s="16" t="inlineStr">
        <is>
          <t>18</t>
        </is>
      </c>
      <c r="H39" s="11" t="inlineStr">
        <is>
          <t>→ PO250379</t>
        </is>
      </c>
    </row>
    <row r="40">
      <c r="B40" s="11" t="n">
        <v>7</v>
      </c>
      <c r="C40" s="11" t="inlineStr">
        <is>
          <t>PO250388</t>
        </is>
      </c>
      <c r="D40" s="11" t="inlineStr">
        <is>
          <t>-</t>
        </is>
      </c>
      <c r="E40" s="11" t="inlineStr">
        <is>
          <t>28.02.26</t>
        </is>
      </c>
      <c r="F40" s="11" t="inlineStr">
        <is>
          <t>$62,275</t>
        </is>
      </c>
      <c r="G40" s="16" t="inlineStr">
        <is>
          <t>18</t>
        </is>
      </c>
      <c r="H40" s="11" t="inlineStr">
        <is>
          <t>→ PO250388</t>
        </is>
      </c>
    </row>
    <row r="41">
      <c r="B41" s="11" t="n">
        <v>8</v>
      </c>
      <c r="C41" s="11" t="inlineStr">
        <is>
          <t>PO250501</t>
        </is>
      </c>
      <c r="D41" s="11" t="inlineStr">
        <is>
          <t>-</t>
        </is>
      </c>
      <c r="E41" s="11" t="inlineStr">
        <is>
          <t>28.02.26</t>
        </is>
      </c>
      <c r="F41" s="11" t="inlineStr">
        <is>
          <t>$64,680</t>
        </is>
      </c>
      <c r="G41" s="16" t="inlineStr">
        <is>
          <t>18</t>
        </is>
      </c>
      <c r="H41" s="11" t="inlineStr">
        <is>
          <t>→ PO250501</t>
        </is>
      </c>
    </row>
    <row r="42">
      <c r="B42" s="11" t="n">
        <v>9</v>
      </c>
      <c r="C42" s="11" t="inlineStr">
        <is>
          <t>PO250389</t>
        </is>
      </c>
      <c r="D42" s="11" t="inlineStr">
        <is>
          <t>-</t>
        </is>
      </c>
      <c r="E42" s="11" t="inlineStr">
        <is>
          <t>10.03.26</t>
        </is>
      </c>
      <c r="F42" s="11" t="inlineStr">
        <is>
          <t>$62,275</t>
        </is>
      </c>
      <c r="G42" s="16" t="inlineStr">
        <is>
          <t>28</t>
        </is>
      </c>
      <c r="H42" s="11" t="inlineStr">
        <is>
          <t>→ PO250389</t>
        </is>
      </c>
    </row>
    <row r="43">
      <c r="B43" s="11" t="n">
        <v>10</v>
      </c>
      <c r="C43" s="11" t="inlineStr">
        <is>
          <t>PO250500</t>
        </is>
      </c>
      <c r="D43" s="11" t="inlineStr">
        <is>
          <t>-</t>
        </is>
      </c>
      <c r="E43" s="11" t="inlineStr">
        <is>
          <t>10.03.26</t>
        </is>
      </c>
      <c r="F43" s="11" t="inlineStr">
        <is>
          <t>$56,100</t>
        </is>
      </c>
      <c r="G43" s="16" t="inlineStr">
        <is>
          <t>28</t>
        </is>
      </c>
      <c r="H43" s="11" t="inlineStr">
        <is>
          <t>→ PO250500</t>
        </is>
      </c>
    </row>
    <row r="44">
      <c r="B44" s="11" t="n">
        <v>11</v>
      </c>
      <c r="C44" s="11" t="inlineStr">
        <is>
          <t>PO250502</t>
        </is>
      </c>
      <c r="D44" s="11" t="inlineStr">
        <is>
          <t>-</t>
        </is>
      </c>
      <c r="E44" s="11" t="inlineStr">
        <is>
          <t>15.03.26</t>
        </is>
      </c>
      <c r="F44" s="11" t="inlineStr">
        <is>
          <t>$62,275</t>
        </is>
      </c>
      <c r="G44" s="16" t="inlineStr">
        <is>
          <t>33</t>
        </is>
      </c>
      <c r="H44" s="11" t="inlineStr">
        <is>
          <t>→ PO250502</t>
        </is>
      </c>
    </row>
    <row r="45">
      <c r="B45" s="11" t="n">
        <v>12</v>
      </c>
      <c r="C45" s="11" t="inlineStr">
        <is>
          <t>PO250484</t>
        </is>
      </c>
      <c r="D45" s="11" t="inlineStr">
        <is>
          <t>-</t>
        </is>
      </c>
      <c r="E45" s="11" t="inlineStr">
        <is>
          <t>15.03.26</t>
        </is>
      </c>
      <c r="F45" s="11" t="inlineStr">
        <is>
          <t>$89,235</t>
        </is>
      </c>
      <c r="G45" s="16" t="inlineStr">
        <is>
          <t>33</t>
        </is>
      </c>
      <c r="H45" s="11" t="inlineStr">
        <is>
          <t>→ PO250484</t>
        </is>
      </c>
    </row>
  </sheetData>
  <mergeCells count="16">
    <mergeCell ref="F9:G10"/>
    <mergeCell ref="B14:H14"/>
    <mergeCell ref="F11:G11"/>
    <mergeCell ref="B32:H32"/>
    <mergeCell ref="D7:E7"/>
    <mergeCell ref="B7:C7"/>
    <mergeCell ref="B11:C11"/>
    <mergeCell ref="D11:E11"/>
    <mergeCell ref="B5:C6"/>
    <mergeCell ref="F5:G6"/>
    <mergeCell ref="D5:E6"/>
    <mergeCell ref="B2:H2"/>
    <mergeCell ref="B3:H3"/>
    <mergeCell ref="B9:C10"/>
    <mergeCell ref="D9:E10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2:N48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4" customWidth="1" min="4" max="4"/>
    <col width="8" customWidth="1" min="5" max="5"/>
    <col width="8" customWidth="1" min="6" max="6"/>
    <col width="35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2">
      <c r="A2" s="1" t="inlineStr">
        <is>
          <t>📦 כל המק"טים - ממוין לפי תאריך הגעה</t>
        </is>
      </c>
    </row>
    <row r="3">
      <c r="A3" s="2" t="inlineStr">
        <is>
          <t>📅 09.02.2026 | 💵 שער: 3.125 | עלויות הובלה מעודכנות</t>
        </is>
      </c>
    </row>
    <row r="5" ht="45" customHeight="1">
      <c r="A5" s="17" t="inlineStr">
        <is>
          <t>#</t>
        </is>
      </c>
      <c r="B5" s="17" t="inlineStr">
        <is>
          <t>מק"ט</t>
        </is>
      </c>
      <c r="C5" s="17" t="inlineStr">
        <is>
          <t>מספר PO</t>
        </is>
      </c>
      <c r="D5" s="17" t="inlineStr">
        <is>
          <t>תאריך כניסה</t>
        </is>
      </c>
      <c r="E5" s="17" t="inlineStr">
        <is>
          <t>כמות</t>
        </is>
      </c>
      <c r="F5" s="17" t="inlineStr">
        <is>
          <t>יח'/קרט</t>
        </is>
      </c>
      <c r="G5" s="17" t="inlineStr">
        <is>
          <t>תיאור</t>
        </is>
      </c>
      <c r="H5" s="17" t="inlineStr">
        <is>
          <t>FOB/יח' $</t>
        </is>
      </c>
      <c r="I5" s="17" t="inlineStr">
        <is>
          <t>FOB סה"כ $</t>
        </is>
      </c>
      <c r="J5" s="17" t="inlineStr">
        <is>
          <t>עלות הובלה</t>
        </is>
      </c>
      <c r="K5" s="17" t="inlineStr">
        <is>
          <t>הובלה/יח' $</t>
        </is>
      </c>
      <c r="L5" s="17" t="inlineStr">
        <is>
          <t>נמל/יח' ₪</t>
        </is>
      </c>
      <c r="M5" s="17" t="inlineStr">
        <is>
          <t>עלות נחיתה/קרט ₪</t>
        </is>
      </c>
      <c r="N5" s="17" t="inlineStr">
        <is>
          <t>עלות סופית ליחידה</t>
        </is>
      </c>
    </row>
    <row r="6" ht="28" customHeight="1">
      <c r="A6" s="11" t="n">
        <v>1</v>
      </c>
      <c r="B6" s="18" t="inlineStr">
        <is>
          <t>TUP022</t>
        </is>
      </c>
      <c r="C6" s="11" t="inlineStr">
        <is>
          <t>PO240350</t>
        </is>
      </c>
      <c r="D6" s="19" t="inlineStr">
        <is>
          <t>22.10.24</t>
        </is>
      </c>
      <c r="E6" s="20" t="n">
        <v>1680</v>
      </c>
      <c r="F6" s="11" t="n">
        <v>12</v>
      </c>
      <c r="G6" s="21" t="inlineStr">
        <is>
          <t>טונה גלאט פאוץ' 1/12 ק"ג  - 1000/95</t>
        </is>
      </c>
      <c r="H6" s="22" t="n">
        <v>43</v>
      </c>
      <c r="I6" s="23" t="n">
        <v>72240</v>
      </c>
      <c r="J6" s="24" t="n">
        <v>6643</v>
      </c>
      <c r="K6" s="25">
        <f>IF($J$6="","",$J$6/1680)</f>
        <v/>
      </c>
      <c r="L6" s="26" t="n">
        <v>0.6589285714285714</v>
      </c>
      <c r="M6" s="27">
        <f>IF(K6="",H6*3.125+L6,(H6+K6)*3.125+L6)</f>
        <v/>
      </c>
      <c r="N6" s="28">
        <f>M6/F6</f>
        <v/>
      </c>
    </row>
    <row r="7" ht="28" customHeight="1">
      <c r="A7" s="11" t="n">
        <v>2</v>
      </c>
      <c r="B7" s="18" t="inlineStr">
        <is>
          <t>TUP019</t>
        </is>
      </c>
      <c r="C7" s="11" t="inlineStr">
        <is>
          <t>PO240353</t>
        </is>
      </c>
      <c r="D7" s="19" t="inlineStr">
        <is>
          <t>22.10.24</t>
        </is>
      </c>
      <c r="E7" s="20" t="n">
        <v>1680</v>
      </c>
      <c r="F7" s="11" t="n">
        <v>12</v>
      </c>
      <c r="G7" s="21" t="inlineStr">
        <is>
          <t>טונה גלאט פאוץ' 1/12 ק"ג - 1000/900</t>
        </is>
      </c>
      <c r="H7" s="22" t="n">
        <v>48.5</v>
      </c>
      <c r="I7" s="23" t="n">
        <v>81480</v>
      </c>
      <c r="J7" s="24" t="n">
        <v>6643</v>
      </c>
      <c r="K7" s="25">
        <f>IF($J$7="","",$J$7/1680)</f>
        <v/>
      </c>
      <c r="L7" s="26" t="n">
        <v>0.6589285714285714</v>
      </c>
      <c r="M7" s="27">
        <f>IF(K7="",H7*3.125+L7,(H7+K7)*3.125+L7)</f>
        <v/>
      </c>
      <c r="N7" s="28">
        <f>M7/F7</f>
        <v/>
      </c>
    </row>
    <row r="8" ht="28" customHeight="1">
      <c r="A8" s="11" t="n">
        <v>3</v>
      </c>
      <c r="B8" s="18" t="inlineStr">
        <is>
          <t>TUC034</t>
        </is>
      </c>
      <c r="C8" s="11" t="inlineStr">
        <is>
          <t>PO250271</t>
        </is>
      </c>
      <c r="D8" s="19" t="inlineStr">
        <is>
          <t>17.09.25</t>
        </is>
      </c>
      <c r="E8" s="20" t="n">
        <v>2640</v>
      </c>
      <c r="F8" s="11" t="n">
        <v>12</v>
      </c>
      <c r="G8" s="21" t="inlineStr">
        <is>
          <t>טונה פחית 160/112 בשמן (רביעיות) 4*</t>
        </is>
      </c>
      <c r="H8" s="22" t="n">
        <v>30.25</v>
      </c>
      <c r="I8" s="23" t="n">
        <v>79860</v>
      </c>
      <c r="J8" s="24" t="n">
        <v>3228</v>
      </c>
      <c r="K8" s="25">
        <f>IF($J$8="","",$J$8/2640)</f>
        <v/>
      </c>
      <c r="L8" s="26" t="n">
        <v>0.4193181818181818</v>
      </c>
      <c r="M8" s="27">
        <f>IF(K8="",H8*3.125+L8,(H8+K8)*3.125+L8)</f>
        <v/>
      </c>
      <c r="N8" s="28">
        <f>M8/F8</f>
        <v/>
      </c>
    </row>
    <row r="9" ht="28" customHeight="1">
      <c r="A9" s="11" t="n">
        <v>4</v>
      </c>
      <c r="B9" s="18" t="inlineStr">
        <is>
          <t>TUC034</t>
        </is>
      </c>
      <c r="C9" s="11" t="inlineStr">
        <is>
          <t>PO250272</t>
        </is>
      </c>
      <c r="D9" s="19" t="inlineStr">
        <is>
          <t>17.09.25</t>
        </is>
      </c>
      <c r="E9" s="20" t="n">
        <v>2640</v>
      </c>
      <c r="F9" s="11" t="n">
        <v>12</v>
      </c>
      <c r="G9" s="21" t="inlineStr">
        <is>
          <t>טונה פחית 160/112 בשמן (רביעיות) 4*</t>
        </is>
      </c>
      <c r="H9" s="22" t="n">
        <v>30.25</v>
      </c>
      <c r="I9" s="23" t="n">
        <v>79860</v>
      </c>
      <c r="J9" s="24" t="n">
        <v>3228</v>
      </c>
      <c r="K9" s="25">
        <f>IF($J$9="","",$J$9/2640)</f>
        <v/>
      </c>
      <c r="L9" s="26" t="n">
        <v>0.4193181818181818</v>
      </c>
      <c r="M9" s="27">
        <f>IF(K9="",H9*3.125+L9,(H9+K9)*3.125+L9)</f>
        <v/>
      </c>
      <c r="N9" s="28">
        <f>M9/F9</f>
        <v/>
      </c>
    </row>
    <row r="10" ht="28" customHeight="1">
      <c r="A10" s="11" t="n">
        <v>5</v>
      </c>
      <c r="B10" s="18" t="inlineStr">
        <is>
          <t>TUP003</t>
        </is>
      </c>
      <c r="C10" s="11" t="inlineStr">
        <is>
          <t>PO250299</t>
        </is>
      </c>
      <c r="D10" s="19" t="inlineStr">
        <is>
          <t>27.10.25</t>
        </is>
      </c>
      <c r="E10" s="20" t="n">
        <v>2016</v>
      </c>
      <c r="F10" s="11" t="n">
        <v>12</v>
      </c>
      <c r="G10" s="21" t="inlineStr">
        <is>
          <t>טונה פאוץ' ירוק 1/12 ק"ג - GREEN TU</t>
        </is>
      </c>
      <c r="H10" s="22" t="n">
        <v>40.5</v>
      </c>
      <c r="I10" s="23" t="n">
        <v>81648</v>
      </c>
      <c r="J10" s="24" t="n">
        <v>2724</v>
      </c>
      <c r="K10" s="25">
        <f>IF($J$10="","",$J$10/2016)</f>
        <v/>
      </c>
      <c r="L10" s="26" t="n">
        <v>0.5491071428571429</v>
      </c>
      <c r="M10" s="27">
        <f>IF(K10="",H10*3.125+L10,(H10+K10)*3.125+L10)</f>
        <v/>
      </c>
      <c r="N10" s="28">
        <f>M10/F10</f>
        <v/>
      </c>
    </row>
    <row r="11" ht="28" customHeight="1">
      <c r="A11" s="11" t="n">
        <v>6</v>
      </c>
      <c r="B11" s="18" t="inlineStr">
        <is>
          <t>TUPP06</t>
        </is>
      </c>
      <c r="C11" s="11" t="inlineStr">
        <is>
          <t>PO250307</t>
        </is>
      </c>
      <c r="D11" s="19" t="inlineStr">
        <is>
          <t>27.10.25</t>
        </is>
      </c>
      <c r="E11" s="20" t="n">
        <v>2016</v>
      </c>
      <c r="F11" s="11" t="n">
        <v>12</v>
      </c>
      <c r="G11" s="21" t="inlineStr">
        <is>
          <t>טונה פאוץ' ירוק מודפס 1/12 ק"ג - GR</t>
        </is>
      </c>
      <c r="H11" s="22" t="n">
        <v>40.5</v>
      </c>
      <c r="I11" s="23" t="n">
        <v>81648</v>
      </c>
      <c r="J11" s="24" t="n">
        <v>2724</v>
      </c>
      <c r="K11" s="25">
        <f>IF($J$11="","",$J$11/2016)</f>
        <v/>
      </c>
      <c r="L11" s="26" t="n">
        <v>0.5491071428571429</v>
      </c>
      <c r="M11" s="27">
        <f>IF(K11="",H11*3.125+L11,(H11+K11)*3.125+L11)</f>
        <v/>
      </c>
      <c r="N11" s="28">
        <f>M11/F11</f>
        <v/>
      </c>
    </row>
    <row r="12" ht="28" customHeight="1">
      <c r="A12" s="11" t="n">
        <v>7</v>
      </c>
      <c r="B12" s="18" t="inlineStr">
        <is>
          <t>TUC034</t>
        </is>
      </c>
      <c r="C12" s="11" t="inlineStr">
        <is>
          <t>PO250294</t>
        </is>
      </c>
      <c r="D12" s="19" t="inlineStr">
        <is>
          <t>06.11.25</t>
        </is>
      </c>
      <c r="E12" s="20" t="n">
        <v>2640</v>
      </c>
      <c r="F12" s="11" t="n">
        <v>12</v>
      </c>
      <c r="G12" s="21" t="inlineStr">
        <is>
          <t>טונה פחית 160/112 בשמן (רביעיות) 4*</t>
        </is>
      </c>
      <c r="H12" s="22" t="n">
        <v>30.25</v>
      </c>
      <c r="I12" s="23" t="n">
        <v>79860</v>
      </c>
      <c r="J12" s="24" t="n">
        <v>2724</v>
      </c>
      <c r="K12" s="25">
        <f>IF($J$12="","",$J$12/2640)</f>
        <v/>
      </c>
      <c r="L12" s="26" t="n">
        <v>0.4193181818181818</v>
      </c>
      <c r="M12" s="27">
        <f>IF(K12="",H12*3.125+L12,(H12+K12)*3.125+L12)</f>
        <v/>
      </c>
      <c r="N12" s="28">
        <f>M12/F12</f>
        <v/>
      </c>
    </row>
    <row r="13" ht="28" customHeight="1">
      <c r="A13" s="11" t="n">
        <v>8</v>
      </c>
      <c r="B13" s="18" t="inlineStr">
        <is>
          <t>TUC034</t>
        </is>
      </c>
      <c r="C13" s="11" t="inlineStr">
        <is>
          <t>PO250295</t>
        </is>
      </c>
      <c r="D13" s="19" t="inlineStr">
        <is>
          <t>06.11.25</t>
        </is>
      </c>
      <c r="E13" s="20" t="n">
        <v>2640</v>
      </c>
      <c r="F13" s="11" t="n">
        <v>12</v>
      </c>
      <c r="G13" s="21" t="inlineStr">
        <is>
          <t>טונה פחית 160/112 בשמן (רביעיות) 4*</t>
        </is>
      </c>
      <c r="H13" s="22" t="n">
        <v>30.25</v>
      </c>
      <c r="I13" s="23" t="n">
        <v>79860</v>
      </c>
      <c r="J13" s="24" t="n">
        <v>2724</v>
      </c>
      <c r="K13" s="25">
        <f>IF($J$13="","",$J$13/2640)</f>
        <v/>
      </c>
      <c r="L13" s="26" t="n">
        <v>0.4193181818181818</v>
      </c>
      <c r="M13" s="27">
        <f>IF(K13="",H13*3.125+L13,(H13+K13)*3.125+L13)</f>
        <v/>
      </c>
      <c r="N13" s="28">
        <f>M13/F13</f>
        <v/>
      </c>
    </row>
    <row r="14" ht="28" customHeight="1">
      <c r="A14" s="11" t="n">
        <v>9</v>
      </c>
      <c r="B14" s="18" t="inlineStr">
        <is>
          <t>TUC007</t>
        </is>
      </c>
      <c r="C14" s="11" t="inlineStr">
        <is>
          <t>PO250296</t>
        </is>
      </c>
      <c r="D14" s="19" t="inlineStr">
        <is>
          <t>06.11.25</t>
        </is>
      </c>
      <c r="E14" s="20" t="n">
        <v>1485</v>
      </c>
      <c r="F14" s="11" t="n">
        <v>12</v>
      </c>
      <c r="G14" s="21" t="inlineStr">
        <is>
          <t>טונה פחית 95/68 גרם 1/48 י'ח 001</t>
        </is>
      </c>
      <c r="H14" s="22" t="n">
        <v>18.91</v>
      </c>
      <c r="I14" s="23" t="n">
        <v>28081.35</v>
      </c>
      <c r="J14" s="24" t="n">
        <v>2724</v>
      </c>
      <c r="K14" s="25">
        <f>IF($J$14="","",$J$14/2788)</f>
        <v/>
      </c>
      <c r="L14" s="26" t="n">
        <v>0.3970588235294117</v>
      </c>
      <c r="M14" s="27">
        <f>IF(K14="",H14*3.125+L14,(H14+K14)*3.125+L14)</f>
        <v/>
      </c>
      <c r="N14" s="28">
        <f>M14/F14</f>
        <v/>
      </c>
    </row>
    <row r="15" ht="28" customHeight="1">
      <c r="A15" s="11" t="n">
        <v>10</v>
      </c>
      <c r="B15" s="18" t="inlineStr">
        <is>
          <t>TUC007</t>
        </is>
      </c>
      <c r="C15" s="11" t="inlineStr">
        <is>
          <t>PO250296</t>
        </is>
      </c>
      <c r="D15" s="19" t="inlineStr">
        <is>
          <t>06.11.25</t>
        </is>
      </c>
      <c r="E15" s="20" t="n">
        <v>163</v>
      </c>
      <c r="F15" s="11" t="n">
        <v>12</v>
      </c>
      <c r="G15" s="21" t="inlineStr">
        <is>
          <t>טונה פחית 95/68 גרם 1/48 י'ח 001</t>
        </is>
      </c>
      <c r="H15" s="22" t="n">
        <v>18.91</v>
      </c>
      <c r="I15" s="23" t="n">
        <v>3082.33</v>
      </c>
      <c r="J15" s="29">
        <f>$J$14</f>
        <v/>
      </c>
      <c r="K15" s="25">
        <f>IF($J$14="","",$J$14/2788)</f>
        <v/>
      </c>
      <c r="L15" s="26" t="n">
        <v>0.3970588235294117</v>
      </c>
      <c r="M15" s="27">
        <f>IF(K15="",H15*3.125+L15,(H15+K15)*3.125+L15)</f>
        <v/>
      </c>
      <c r="N15" s="28">
        <f>M15/F15</f>
        <v/>
      </c>
    </row>
    <row r="16" ht="28" customHeight="1">
      <c r="A16" s="11" t="n">
        <v>11</v>
      </c>
      <c r="B16" s="18" t="inlineStr">
        <is>
          <t>TUC015</t>
        </is>
      </c>
      <c r="C16" s="11" t="inlineStr">
        <is>
          <t>PO250296</t>
        </is>
      </c>
      <c r="D16" s="19" t="inlineStr">
        <is>
          <t>06.11.25</t>
        </is>
      </c>
      <c r="E16" s="20" t="n">
        <v>528</v>
      </c>
      <c r="F16" s="11" t="n">
        <v>12</v>
      </c>
      <c r="G16" s="21" t="inlineStr">
        <is>
          <t>טונה פחית 140/98 גרם 001 (רבעיות )4</t>
        </is>
      </c>
      <c r="H16" s="22" t="n">
        <v>24.45</v>
      </c>
      <c r="I16" s="23" t="n">
        <v>12909.6</v>
      </c>
      <c r="J16" s="29">
        <f>$J$14</f>
        <v/>
      </c>
      <c r="K16" s="25">
        <f>IF($J$14="","",$J$14/2788)</f>
        <v/>
      </c>
      <c r="L16" s="26" t="n">
        <v>0.3970588235294117</v>
      </c>
      <c r="M16" s="27">
        <f>IF(K16="",H16*3.125+L16,(H16+K16)*3.125+L16)</f>
        <v/>
      </c>
      <c r="N16" s="28">
        <f>M16/F16</f>
        <v/>
      </c>
    </row>
    <row r="17" ht="28" customHeight="1">
      <c r="A17" s="11" t="n">
        <v>12</v>
      </c>
      <c r="B17" s="18" t="inlineStr">
        <is>
          <t>TUC015</t>
        </is>
      </c>
      <c r="C17" s="11" t="inlineStr">
        <is>
          <t>PO250296</t>
        </is>
      </c>
      <c r="D17" s="19" t="inlineStr">
        <is>
          <t>06.11.25</t>
        </is>
      </c>
      <c r="E17" s="20" t="n">
        <v>41</v>
      </c>
      <c r="F17" s="11" t="n">
        <v>12</v>
      </c>
      <c r="G17" s="21" t="inlineStr">
        <is>
          <t>טונה פחית 140/98 גרם 001 (רבעיות )4</t>
        </is>
      </c>
      <c r="H17" s="22" t="n">
        <v>24.45</v>
      </c>
      <c r="I17" s="23" t="n">
        <v>1002.45</v>
      </c>
      <c r="J17" s="29">
        <f>$J$14</f>
        <v/>
      </c>
      <c r="K17" s="25">
        <f>IF($J$14="","",$J$14/2788)</f>
        <v/>
      </c>
      <c r="L17" s="26" t="n">
        <v>0.3970588235294117</v>
      </c>
      <c r="M17" s="27">
        <f>IF(K17="",H17*3.125+L17,(H17+K17)*3.125+L17)</f>
        <v/>
      </c>
      <c r="N17" s="28">
        <f>M17/F17</f>
        <v/>
      </c>
    </row>
    <row r="18" ht="28" customHeight="1">
      <c r="A18" s="11" t="n">
        <v>13</v>
      </c>
      <c r="B18" s="18" t="inlineStr">
        <is>
          <t>TUPP06</t>
        </is>
      </c>
      <c r="C18" s="11" t="inlineStr">
        <is>
          <t>PO250296</t>
        </is>
      </c>
      <c r="D18" s="19" t="inlineStr">
        <is>
          <t>06.11.25</t>
        </is>
      </c>
      <c r="E18" s="20" t="n">
        <v>504</v>
      </c>
      <c r="F18" s="11" t="n">
        <v>12</v>
      </c>
      <c r="G18" s="21" t="inlineStr">
        <is>
          <t>טונה פאוץ' ירוק מודפס 1/12 ק"ג - GR</t>
        </is>
      </c>
      <c r="H18" s="22" t="n">
        <v>37.36</v>
      </c>
      <c r="I18" s="23" t="n">
        <v>18829.44</v>
      </c>
      <c r="J18" s="29">
        <f>$J$14</f>
        <v/>
      </c>
      <c r="K18" s="25">
        <f>IF($J$14="","",$J$14/2788)</f>
        <v/>
      </c>
      <c r="L18" s="26" t="n">
        <v>0.3970588235294117</v>
      </c>
      <c r="M18" s="27">
        <f>IF(K18="",H18*3.125+L18,(H18+K18)*3.125+L18)</f>
        <v/>
      </c>
      <c r="N18" s="28">
        <f>M18/F18</f>
        <v/>
      </c>
    </row>
    <row r="19" ht="28" customHeight="1">
      <c r="A19" s="11" t="n">
        <v>14</v>
      </c>
      <c r="B19" s="18" t="inlineStr">
        <is>
          <t>TUPP06</t>
        </is>
      </c>
      <c r="C19" s="11" t="inlineStr">
        <is>
          <t>PO250296</t>
        </is>
      </c>
      <c r="D19" s="19" t="inlineStr">
        <is>
          <t>06.11.25</t>
        </is>
      </c>
      <c r="E19" s="20" t="n">
        <v>67</v>
      </c>
      <c r="F19" s="11" t="n">
        <v>12</v>
      </c>
      <c r="G19" s="21" t="inlineStr">
        <is>
          <t>טונה פאוץ' ירוק מודפס 1/12 ק"ג - GR</t>
        </is>
      </c>
      <c r="H19" s="22" t="n">
        <v>37.36</v>
      </c>
      <c r="I19" s="23" t="n">
        <v>2503.12</v>
      </c>
      <c r="J19" s="29">
        <f>$J$14</f>
        <v/>
      </c>
      <c r="K19" s="25">
        <f>IF($J$14="","",$J$14/2788)</f>
        <v/>
      </c>
      <c r="L19" s="26" t="n">
        <v>0.3970588235294117</v>
      </c>
      <c r="M19" s="27">
        <f>IF(K19="",H19*3.125+L19,(H19+K19)*3.125+L19)</f>
        <v/>
      </c>
      <c r="N19" s="28">
        <f>M19/F19</f>
        <v/>
      </c>
    </row>
    <row r="20" ht="28" customHeight="1">
      <c r="A20" s="11" t="n">
        <v>15</v>
      </c>
      <c r="B20" s="18" t="inlineStr">
        <is>
          <t>TUPP06</t>
        </is>
      </c>
      <c r="C20" s="11" t="inlineStr">
        <is>
          <t>PO250344</t>
        </is>
      </c>
      <c r="D20" s="19" t="inlineStr">
        <is>
          <t>07.12.25</t>
        </is>
      </c>
      <c r="E20" s="20" t="n">
        <v>2016</v>
      </c>
      <c r="F20" s="11" t="n">
        <v>12</v>
      </c>
      <c r="G20" s="21" t="inlineStr">
        <is>
          <t>טונה פאוץ' ירוק מודפס 1/12 ק"ג - GR</t>
        </is>
      </c>
      <c r="H20" s="22" t="n">
        <v>40.5</v>
      </c>
      <c r="I20" s="23" t="n">
        <v>81648</v>
      </c>
      <c r="J20" s="24" t="n">
        <v>2850</v>
      </c>
      <c r="K20" s="25">
        <f>IF($J$20="","",$J$20/2016)</f>
        <v/>
      </c>
      <c r="L20" s="26" t="n">
        <v>0.5491071428571429</v>
      </c>
      <c r="M20" s="27">
        <f>IF(K20="",H20*3.125+L20,(H20+K20)*3.125+L20)</f>
        <v/>
      </c>
      <c r="N20" s="28">
        <f>M20/F20</f>
        <v/>
      </c>
    </row>
    <row r="21" ht="28" customHeight="1">
      <c r="A21" s="11" t="n">
        <v>16</v>
      </c>
      <c r="B21" s="18" t="inlineStr">
        <is>
          <t>TUC052</t>
        </is>
      </c>
      <c r="C21" s="11" t="inlineStr">
        <is>
          <t>PO250342</t>
        </is>
      </c>
      <c r="D21" s="19" t="inlineStr">
        <is>
          <t>16.12.25</t>
        </is>
      </c>
      <c r="E21" s="20" t="n">
        <v>3048</v>
      </c>
      <c r="F21" s="11" t="n">
        <v>12</v>
      </c>
      <c r="G21" s="21" t="inlineStr">
        <is>
          <t>טונה פחית 140/98 גרם 003  מותג "מחנ</t>
        </is>
      </c>
      <c r="H21" s="22" t="n">
        <v>27.37</v>
      </c>
      <c r="I21" s="23" t="n">
        <v>83423.76000000001</v>
      </c>
      <c r="J21" s="24" t="n">
        <v>3178</v>
      </c>
      <c r="K21" s="25">
        <f>IF($J$21="","",$J$21/6096)</f>
        <v/>
      </c>
      <c r="L21" s="26" t="n">
        <v>0.1815944881889764</v>
      </c>
      <c r="M21" s="27">
        <f>IF(K21="",H21*3.125+L21,(H21+K21)*3.125+L21)</f>
        <v/>
      </c>
      <c r="N21" s="28">
        <f>M21/F21</f>
        <v/>
      </c>
    </row>
    <row r="22" ht="28" customHeight="1">
      <c r="A22" s="11" t="n">
        <v>17</v>
      </c>
      <c r="B22" s="18" t="inlineStr">
        <is>
          <t>הדבקת מדבקות</t>
        </is>
      </c>
      <c r="C22" s="11" t="inlineStr">
        <is>
          <t>PO250342</t>
        </is>
      </c>
      <c r="D22" s="19" t="inlineStr">
        <is>
          <t>16.12.25</t>
        </is>
      </c>
      <c r="E22" s="20" t="n">
        <v>3048</v>
      </c>
      <c r="F22" s="11" t="n">
        <v>12</v>
      </c>
      <c r="G22" s="21" t="inlineStr">
        <is>
          <t>הדבקת מדבקות</t>
        </is>
      </c>
      <c r="H22" s="22" t="n">
        <v>1.68</v>
      </c>
      <c r="I22" s="23" t="n">
        <v>5120.639999999999</v>
      </c>
      <c r="J22" s="29">
        <f>$J$21</f>
        <v/>
      </c>
      <c r="K22" s="25">
        <f>IF($J$21="","",$J$21/6096)</f>
        <v/>
      </c>
      <c r="L22" s="26" t="n">
        <v>0.1815944881889764</v>
      </c>
      <c r="M22" s="27">
        <f>IF(K22="",H22*3.125+L22,(H22+K22)*3.125+L22)</f>
        <v/>
      </c>
      <c r="N22" s="28">
        <f>M22/F22</f>
        <v/>
      </c>
    </row>
    <row r="23" ht="28" customHeight="1">
      <c r="A23" s="11" t="n">
        <v>18</v>
      </c>
      <c r="B23" s="18" t="inlineStr">
        <is>
          <t>TUPP06</t>
        </is>
      </c>
      <c r="C23" s="11" t="inlineStr">
        <is>
          <t>PO250345</t>
        </is>
      </c>
      <c r="D23" s="19" t="inlineStr">
        <is>
          <t>16.12.25</t>
        </is>
      </c>
      <c r="E23" s="20" t="n">
        <v>2016</v>
      </c>
      <c r="F23" s="11" t="n">
        <v>12</v>
      </c>
      <c r="G23" s="21" t="inlineStr">
        <is>
          <t>טונה פאוץ' ירוק מודפס 1/12 ק"ג - GR</t>
        </is>
      </c>
      <c r="H23" s="22" t="n">
        <v>40.5</v>
      </c>
      <c r="I23" s="23" t="n">
        <v>81648</v>
      </c>
      <c r="J23" s="24" t="n">
        <v>3178</v>
      </c>
      <c r="K23" s="25">
        <f>IF($J$23="","",$J$23/2016)</f>
        <v/>
      </c>
      <c r="L23" s="26" t="n">
        <v>0.5491071428571429</v>
      </c>
      <c r="M23" s="27">
        <f>IF(K23="",H23*3.125+L23,(H23+K23)*3.125+L23)</f>
        <v/>
      </c>
      <c r="N23" s="28">
        <f>M23/F23</f>
        <v/>
      </c>
    </row>
    <row r="24" ht="28" customHeight="1">
      <c r="A24" s="11" t="n">
        <v>19</v>
      </c>
      <c r="B24" s="18" t="inlineStr">
        <is>
          <t>TUPP06</t>
        </is>
      </c>
      <c r="C24" s="11" t="inlineStr">
        <is>
          <t>PO250346</t>
        </is>
      </c>
      <c r="D24" s="19" t="inlineStr">
        <is>
          <t>16.12.25</t>
        </is>
      </c>
      <c r="E24" s="20" t="n">
        <v>2016</v>
      </c>
      <c r="F24" s="11" t="n">
        <v>12</v>
      </c>
      <c r="G24" s="21" t="inlineStr">
        <is>
          <t>טונה פאוץ' ירוק מודפס 1/12 ק"ג - GR</t>
        </is>
      </c>
      <c r="H24" s="22" t="n">
        <v>40.5</v>
      </c>
      <c r="I24" s="23" t="n">
        <v>81648</v>
      </c>
      <c r="J24" s="24" t="n">
        <v>3178</v>
      </c>
      <c r="K24" s="25">
        <f>IF($J$24="","",$J$24/2016)</f>
        <v/>
      </c>
      <c r="L24" s="26" t="n">
        <v>0.5491071428571429</v>
      </c>
      <c r="M24" s="27">
        <f>IF(K24="",H24*3.125+L24,(H24+K24)*3.125+L24)</f>
        <v/>
      </c>
      <c r="N24" s="28">
        <f>M24/F24</f>
        <v/>
      </c>
    </row>
    <row r="25" ht="28" customHeight="1">
      <c r="A25" s="11" t="n">
        <v>20</v>
      </c>
      <c r="B25" s="18" t="inlineStr">
        <is>
          <t>TUC032</t>
        </is>
      </c>
      <c r="C25" s="11" t="inlineStr">
        <is>
          <t>PO250381</t>
        </is>
      </c>
      <c r="D25" s="19" t="inlineStr">
        <is>
          <t>22.12.25</t>
        </is>
      </c>
      <c r="E25" s="20" t="n">
        <v>1008</v>
      </c>
      <c r="F25" s="11" t="n">
        <v>12</v>
      </c>
      <c r="G25" s="21" t="inlineStr">
        <is>
          <t xml:space="preserve">טונה GAYA פחית  1/12 - 900/670 גרם </t>
        </is>
      </c>
      <c r="H25" s="22" t="n">
        <v>43.91</v>
      </c>
      <c r="I25" s="23" t="n">
        <v>44261.28</v>
      </c>
      <c r="J25" s="24" t="n">
        <v>3379</v>
      </c>
      <c r="K25" s="25">
        <f>IF($J$25="","",$J$25/2592)</f>
        <v/>
      </c>
      <c r="L25" s="26" t="n">
        <v>0.4270833333333333</v>
      </c>
      <c r="M25" s="27">
        <f>IF(K25="",H25*3.125+L25,(H25+K25)*3.125+L25)</f>
        <v/>
      </c>
      <c r="N25" s="28">
        <f>M25/F25</f>
        <v/>
      </c>
    </row>
    <row r="26" ht="28" customHeight="1">
      <c r="A26" s="11" t="n">
        <v>21</v>
      </c>
      <c r="B26" s="18" t="inlineStr">
        <is>
          <t>TUC004</t>
        </is>
      </c>
      <c r="C26" s="11" t="inlineStr">
        <is>
          <t>PO250381</t>
        </is>
      </c>
      <c r="D26" s="19" t="inlineStr">
        <is>
          <t>22.12.25</t>
        </is>
      </c>
      <c r="E26" s="20" t="n">
        <v>1584</v>
      </c>
      <c r="F26" s="11" t="n">
        <v>12</v>
      </c>
      <c r="G26" s="21" t="inlineStr">
        <is>
          <t>טונה פחית 140/98 גרם 003 (רבעיות)4*</t>
        </is>
      </c>
      <c r="H26" s="22" t="n">
        <v>27.62</v>
      </c>
      <c r="I26" s="23" t="n">
        <v>43750.08</v>
      </c>
      <c r="J26" s="29">
        <f>$J$25</f>
        <v/>
      </c>
      <c r="K26" s="25">
        <f>IF($J$25="","",$J$25/2592)</f>
        <v/>
      </c>
      <c r="L26" s="26" t="n">
        <v>0.4270833333333333</v>
      </c>
      <c r="M26" s="27">
        <f>IF(K26="",H26*3.125+L26,(H26+K26)*3.125+L26)</f>
        <v/>
      </c>
      <c r="N26" s="28">
        <f>M26/F26</f>
        <v/>
      </c>
    </row>
    <row r="27" ht="28" customHeight="1">
      <c r="A27" s="11" t="n">
        <v>22</v>
      </c>
      <c r="B27" s="18" t="inlineStr">
        <is>
          <t>TUC001</t>
        </is>
      </c>
      <c r="C27" s="11" t="inlineStr">
        <is>
          <t>PO250428</t>
        </is>
      </c>
      <c r="D27" s="19" t="inlineStr">
        <is>
          <t>03.01.26</t>
        </is>
      </c>
      <c r="E27" s="20" t="n">
        <v>168</v>
      </c>
      <c r="F27" s="11" t="n">
        <v>12</v>
      </c>
      <c r="G27" s="21" t="inlineStr">
        <is>
          <t xml:space="preserve">טונה פחית גאיה 1/12 -  900/670 גרם </t>
        </is>
      </c>
      <c r="H27" s="22" t="n">
        <v>38.76</v>
      </c>
      <c r="I27" s="23" t="n">
        <v>6511.679999999999</v>
      </c>
      <c r="J27" s="24" t="n">
        <v>3934</v>
      </c>
      <c r="K27" s="25">
        <f>IF($J$27="","",$J$27/1994)</f>
        <v/>
      </c>
      <c r="L27" s="26" t="n">
        <v>0.5551654964894684</v>
      </c>
      <c r="M27" s="27">
        <f>IF(K27="",H27*3.125+L27,(H27+K27)*3.125+L27)</f>
        <v/>
      </c>
      <c r="N27" s="28">
        <f>M27/F27</f>
        <v/>
      </c>
    </row>
    <row r="28" ht="28" customHeight="1">
      <c r="A28" s="11" t="n">
        <v>23</v>
      </c>
      <c r="B28" s="18" t="inlineStr">
        <is>
          <t>TUC001</t>
        </is>
      </c>
      <c r="C28" s="11" t="inlineStr">
        <is>
          <t>PO250428</t>
        </is>
      </c>
      <c r="D28" s="19" t="inlineStr">
        <is>
          <t>03.01.26</t>
        </is>
      </c>
      <c r="E28" s="20" t="n">
        <v>62</v>
      </c>
      <c r="F28" s="11" t="n">
        <v>12</v>
      </c>
      <c r="G28" s="21" t="inlineStr">
        <is>
          <t xml:space="preserve">טונה פחית גאיה 1/12 -  900/670 גרם </t>
        </is>
      </c>
      <c r="H28" s="22" t="n">
        <v>38.76</v>
      </c>
      <c r="I28" s="23" t="n">
        <v>2403.12</v>
      </c>
      <c r="J28" s="29">
        <f>$J$27</f>
        <v/>
      </c>
      <c r="K28" s="25">
        <f>IF($J$27="","",$J$27/1994)</f>
        <v/>
      </c>
      <c r="L28" s="26" t="n">
        <v>0.5551654964894684</v>
      </c>
      <c r="M28" s="27">
        <f>IF(K28="",H28*3.125+L28,(H28+K28)*3.125+L28)</f>
        <v/>
      </c>
      <c r="N28" s="28">
        <f>M28/F28</f>
        <v/>
      </c>
    </row>
    <row r="29" ht="28" customHeight="1">
      <c r="A29" s="11" t="n">
        <v>24</v>
      </c>
      <c r="B29" s="18" t="inlineStr">
        <is>
          <t>TUP014</t>
        </is>
      </c>
      <c r="C29" s="11" t="inlineStr">
        <is>
          <t>PO250428</t>
        </is>
      </c>
      <c r="D29" s="19" t="inlineStr">
        <is>
          <t>03.01.26</t>
        </is>
      </c>
      <c r="E29" s="20" t="n">
        <v>1344</v>
      </c>
      <c r="F29" s="11" t="n">
        <v>12</v>
      </c>
      <c r="G29" s="21" t="inlineStr">
        <is>
          <t>טונה פאוצ' ילופין 1/12 ק"ג diptuna</t>
        </is>
      </c>
      <c r="H29" s="22" t="n">
        <v>44.5</v>
      </c>
      <c r="I29" s="23" t="n">
        <v>59808</v>
      </c>
      <c r="J29" s="29">
        <f>$J$27</f>
        <v/>
      </c>
      <c r="K29" s="25">
        <f>IF($J$27="","",$J$27/1994)</f>
        <v/>
      </c>
      <c r="L29" s="26" t="n">
        <v>0.5551654964894684</v>
      </c>
      <c r="M29" s="27">
        <f>IF(K29="",H29*3.125+L29,(H29+K29)*3.125+L29)</f>
        <v/>
      </c>
      <c r="N29" s="28">
        <f>M29/F29</f>
        <v/>
      </c>
    </row>
    <row r="30" ht="28" customHeight="1">
      <c r="A30" s="11" t="n">
        <v>25</v>
      </c>
      <c r="B30" s="18" t="inlineStr">
        <is>
          <t>TUPP01</t>
        </is>
      </c>
      <c r="C30" s="11" t="inlineStr">
        <is>
          <t>PO250428</t>
        </is>
      </c>
      <c r="D30" s="19" t="inlineStr">
        <is>
          <t>03.01.26</t>
        </is>
      </c>
      <c r="E30" s="20" t="n">
        <v>420</v>
      </c>
      <c r="F30" s="11" t="n">
        <v>12</v>
      </c>
      <c r="G30" s="21" t="inlineStr">
        <is>
          <t>טונה פאוץ' כחול מודפס 1/12 ק"ג - BL</t>
        </is>
      </c>
      <c r="H30" s="22" t="n">
        <v>47.85</v>
      </c>
      <c r="I30" s="23" t="n">
        <v>20097</v>
      </c>
      <c r="J30" s="29">
        <f>$J$27</f>
        <v/>
      </c>
      <c r="K30" s="25">
        <f>IF($J$27="","",$J$27/1994)</f>
        <v/>
      </c>
      <c r="L30" s="26" t="n">
        <v>0.5551654964894684</v>
      </c>
      <c r="M30" s="27">
        <f>IF(K30="",H30*3.125+L30,(H30+K30)*3.125+L30)</f>
        <v/>
      </c>
      <c r="N30" s="28">
        <f>M30/F30</f>
        <v/>
      </c>
    </row>
    <row r="31" ht="28" customHeight="1">
      <c r="A31" s="11" t="n">
        <v>26</v>
      </c>
      <c r="B31" s="18" t="inlineStr">
        <is>
          <t>TUP039</t>
        </is>
      </c>
      <c r="C31" s="11" t="inlineStr">
        <is>
          <t>PO250476</t>
        </is>
      </c>
      <c r="D31" s="30" t="inlineStr">
        <is>
          <t>08.02.26</t>
        </is>
      </c>
      <c r="E31" s="20" t="n">
        <v>1120</v>
      </c>
      <c r="F31" s="11" t="n">
        <v>12</v>
      </c>
      <c r="G31" s="21" t="inlineStr">
        <is>
          <t>טונה פאוץ' 3X5  ק"ג - TUNA FISH בשמ</t>
        </is>
      </c>
      <c r="H31" s="22" t="n">
        <v>52.15</v>
      </c>
      <c r="I31" s="23" t="n">
        <v>58408</v>
      </c>
      <c r="J31" s="24" t="n">
        <v>5246</v>
      </c>
      <c r="K31" s="25">
        <f>IF($J$31="","",$J$31/1792)</f>
        <v/>
      </c>
      <c r="L31" s="26" t="n">
        <v>0.6177455357142857</v>
      </c>
      <c r="M31" s="27">
        <f>IF(K31="",H31*3.125+L31,(H31+K31)*3.125+L31)</f>
        <v/>
      </c>
      <c r="N31" s="28">
        <f>M31/F31</f>
        <v/>
      </c>
    </row>
    <row r="32" ht="28" customHeight="1">
      <c r="A32" s="11" t="n">
        <v>27</v>
      </c>
      <c r="B32" s="18" t="inlineStr">
        <is>
          <t>TUP010</t>
        </is>
      </c>
      <c r="C32" s="11" t="inlineStr">
        <is>
          <t>PO250476</t>
        </is>
      </c>
      <c r="D32" s="30" t="inlineStr">
        <is>
          <t>08.02.26</t>
        </is>
      </c>
      <c r="E32" s="20" t="n">
        <v>672</v>
      </c>
      <c r="F32" s="11" t="n">
        <v>12</v>
      </c>
      <c r="G32" s="21" t="inlineStr">
        <is>
          <t>טונה GAYA פאוץ' 1/12 ק"ג  - 1000/95</t>
        </is>
      </c>
      <c r="H32" s="22" t="n">
        <v>42.71</v>
      </c>
      <c r="I32" s="23" t="n">
        <v>28701.12</v>
      </c>
      <c r="J32" s="29">
        <f>$J$31</f>
        <v/>
      </c>
      <c r="K32" s="25">
        <f>IF($J$31="","",$J$31/1792)</f>
        <v/>
      </c>
      <c r="L32" s="26" t="n">
        <v>0.6177455357142857</v>
      </c>
      <c r="M32" s="27">
        <f>IF(K32="",H32*3.125+L32,(H32+K32)*3.125+L32)</f>
        <v/>
      </c>
      <c r="N32" s="28">
        <f>M32/F32</f>
        <v/>
      </c>
    </row>
    <row r="33" ht="28" customHeight="1">
      <c r="A33" s="11" t="n">
        <v>28</v>
      </c>
      <c r="B33" s="18" t="inlineStr">
        <is>
          <t>TUC033</t>
        </is>
      </c>
      <c r="C33" s="11" t="inlineStr">
        <is>
          <t>PO250477</t>
        </is>
      </c>
      <c r="D33" s="30" t="inlineStr">
        <is>
          <t>08.02.26</t>
        </is>
      </c>
      <c r="E33" s="20" t="n">
        <v>3072</v>
      </c>
      <c r="F33" s="11" t="n">
        <v>12</v>
      </c>
      <c r="G33" s="21" t="inlineStr">
        <is>
          <t>טונה פחית 140/98 בשמן 1/48-גאיה  00</t>
        </is>
      </c>
      <c r="H33" s="22" t="n">
        <v>26.5</v>
      </c>
      <c r="I33" s="23" t="n">
        <v>81408</v>
      </c>
      <c r="J33" s="24" t="n">
        <v>5246</v>
      </c>
      <c r="K33" s="25">
        <f>IF($J$33="","",$J$33/3072)</f>
        <v/>
      </c>
      <c r="L33" s="26" t="n">
        <v>0.3603515625</v>
      </c>
      <c r="M33" s="27">
        <f>IF(K33="",H33*3.125+L33,(H33+K33)*3.125+L33)</f>
        <v/>
      </c>
      <c r="N33" s="28">
        <f>M33/F33</f>
        <v/>
      </c>
    </row>
    <row r="34" ht="28" customHeight="1">
      <c r="A34" s="11" t="n">
        <v>29</v>
      </c>
      <c r="B34" s="18" t="inlineStr">
        <is>
          <t>TUPP02</t>
        </is>
      </c>
      <c r="C34" s="11" t="inlineStr">
        <is>
          <t>PO250478</t>
        </is>
      </c>
      <c r="D34" s="30" t="inlineStr">
        <is>
          <t>08.02.26</t>
        </is>
      </c>
      <c r="E34" s="20" t="n">
        <v>1680</v>
      </c>
      <c r="F34" s="11" t="n">
        <v>12</v>
      </c>
      <c r="G34" s="21" t="inlineStr">
        <is>
          <t>טונה פאוץ' אדום מודפס 1/12 ק"ג - RE</t>
        </is>
      </c>
      <c r="H34" s="22" t="n">
        <v>46.5</v>
      </c>
      <c r="I34" s="23" t="n">
        <v>78120</v>
      </c>
      <c r="J34" s="24" t="n">
        <v>5246</v>
      </c>
      <c r="K34" s="25">
        <f>IF($J$34="","",$J$34/1680)</f>
        <v/>
      </c>
      <c r="L34" s="26" t="n">
        <v>0.6589285714285714</v>
      </c>
      <c r="M34" s="27">
        <f>IF(K34="",H34*3.125+L34,(H34+K34)*3.125+L34)</f>
        <v/>
      </c>
      <c r="N34" s="28">
        <f>M34/F34</f>
        <v/>
      </c>
    </row>
    <row r="35" ht="28" customHeight="1">
      <c r="A35" s="11" t="n">
        <v>30</v>
      </c>
      <c r="B35" s="18" t="inlineStr">
        <is>
          <t>TUC001</t>
        </is>
      </c>
      <c r="C35" s="11" t="inlineStr">
        <is>
          <t>PO250479</t>
        </is>
      </c>
      <c r="D35" s="30" t="inlineStr">
        <is>
          <t>08.02.26</t>
        </is>
      </c>
      <c r="E35" s="20" t="n">
        <v>1848</v>
      </c>
      <c r="F35" s="11" t="n">
        <v>12</v>
      </c>
      <c r="G35" s="21" t="inlineStr">
        <is>
          <t xml:space="preserve">טונה פחית גאיה 1/12 -  900/670 גרם </t>
        </is>
      </c>
      <c r="H35" s="22" t="n">
        <v>38.5</v>
      </c>
      <c r="I35" s="23" t="n">
        <v>71148</v>
      </c>
      <c r="J35" s="24" t="n">
        <v>5246</v>
      </c>
      <c r="K35" s="25">
        <f>IF($J$35="","",$J$35/1848)</f>
        <v/>
      </c>
      <c r="L35" s="26" t="n">
        <v>0.599025974025974</v>
      </c>
      <c r="M35" s="27">
        <f>IF(K35="",H35*3.125+L35,(H35+K35)*3.125+L35)</f>
        <v/>
      </c>
      <c r="N35" s="28">
        <f>M35/F35</f>
        <v/>
      </c>
    </row>
    <row r="36" ht="28" customHeight="1">
      <c r="A36" s="11" t="n">
        <v>31</v>
      </c>
      <c r="B36" s="18" t="inlineStr">
        <is>
          <t>TUC016</t>
        </is>
      </c>
      <c r="C36" s="11" t="inlineStr">
        <is>
          <t>PO250483</t>
        </is>
      </c>
      <c r="D36" s="30" t="inlineStr">
        <is>
          <t>08.02.26</t>
        </is>
      </c>
      <c r="E36" s="20" t="n">
        <v>3036</v>
      </c>
      <c r="F36" s="11" t="n">
        <v>12</v>
      </c>
      <c r="G36" s="21" t="inlineStr">
        <is>
          <t>טונה פחית 140/98 גרם 002 (רבעיות )4</t>
        </is>
      </c>
      <c r="H36" s="22" t="n">
        <v>26.5</v>
      </c>
      <c r="I36" s="23" t="n">
        <v>80454</v>
      </c>
      <c r="J36" s="24" t="n">
        <v>5246</v>
      </c>
      <c r="K36" s="25">
        <f>IF($J$36="","",$J$36/3072)</f>
        <v/>
      </c>
      <c r="L36" s="26" t="n">
        <v>0.3603515625</v>
      </c>
      <c r="M36" s="27">
        <f>IF(K36="",H36*3.125+L36,(H36+K36)*3.125+L36)</f>
        <v/>
      </c>
      <c r="N36" s="28">
        <f>M36/F36</f>
        <v/>
      </c>
    </row>
    <row r="37" ht="28" customHeight="1">
      <c r="A37" s="11" t="n">
        <v>32</v>
      </c>
      <c r="B37" s="18" t="inlineStr">
        <is>
          <t>TUC016</t>
        </is>
      </c>
      <c r="C37" s="11" t="inlineStr">
        <is>
          <t>PO250483</t>
        </is>
      </c>
      <c r="D37" s="30" t="inlineStr">
        <is>
          <t>08.02.26</t>
        </is>
      </c>
      <c r="E37" s="20" t="n">
        <v>36</v>
      </c>
      <c r="F37" s="11" t="n">
        <v>12</v>
      </c>
      <c r="G37" s="21" t="inlineStr">
        <is>
          <t>טונה פחית 140/98 גרם 002 (רבעיות )4</t>
        </is>
      </c>
      <c r="H37" s="22" t="n">
        <v>26.5</v>
      </c>
      <c r="I37" s="23" t="n">
        <v>954</v>
      </c>
      <c r="J37" s="29">
        <f>$J$36</f>
        <v/>
      </c>
      <c r="K37" s="25">
        <f>IF($J$36="","",$J$36/3072)</f>
        <v/>
      </c>
      <c r="L37" s="26" t="n">
        <v>0.3603515625</v>
      </c>
      <c r="M37" s="27">
        <f>IF(K37="",H37*3.125+L37,(H37+K37)*3.125+L37)</f>
        <v/>
      </c>
      <c r="N37" s="28">
        <f>M37/F37</f>
        <v/>
      </c>
    </row>
    <row r="38" ht="28" customHeight="1">
      <c r="A38" s="11" t="n">
        <v>33</v>
      </c>
      <c r="B38" s="18" t="inlineStr">
        <is>
          <t>TUP010</t>
        </is>
      </c>
      <c r="C38" s="11" t="inlineStr">
        <is>
          <t>PO250379</t>
        </is>
      </c>
      <c r="D38" s="30" t="inlineStr">
        <is>
          <t>28.02.26</t>
        </is>
      </c>
      <c r="E38" s="20" t="n">
        <v>1480</v>
      </c>
      <c r="F38" s="11" t="n">
        <v>12</v>
      </c>
      <c r="G38" s="21" t="inlineStr">
        <is>
          <t>טונה GAYA פאוץ' 1/12 ק"ג  - 1000/95</t>
        </is>
      </c>
      <c r="H38" s="22" t="n">
        <v>43</v>
      </c>
      <c r="I38" s="23" t="n">
        <v>63640</v>
      </c>
      <c r="J38" s="24" t="n">
        <v>3127</v>
      </c>
      <c r="K38" s="25">
        <f>IF($J$38="","",$J$38/1480)</f>
        <v/>
      </c>
      <c r="L38" s="26" t="n">
        <v>0.7479729729729729</v>
      </c>
      <c r="M38" s="27">
        <f>IF(K38="",H38*3.125+L38,(H38+K38)*3.125+L38)</f>
        <v/>
      </c>
      <c r="N38" s="28">
        <f>M38/F38</f>
        <v/>
      </c>
    </row>
    <row r="39" ht="28" customHeight="1">
      <c r="A39" s="11" t="n">
        <v>34</v>
      </c>
      <c r="B39" s="18" t="inlineStr">
        <is>
          <t>TUC033</t>
        </is>
      </c>
      <c r="C39" s="11" t="inlineStr">
        <is>
          <t>PO250388</t>
        </is>
      </c>
      <c r="D39" s="30" t="inlineStr">
        <is>
          <t>28.02.26</t>
        </is>
      </c>
      <c r="E39" s="20" t="n">
        <v>2350</v>
      </c>
      <c r="F39" s="11" t="n">
        <v>12</v>
      </c>
      <c r="G39" s="21" t="inlineStr">
        <is>
          <t>טונה פחית 140/98 בשמן 1/48-גאיה  00</t>
        </is>
      </c>
      <c r="H39" s="22" t="n">
        <v>26.5</v>
      </c>
      <c r="I39" s="23" t="n">
        <v>62275</v>
      </c>
      <c r="J39" s="24" t="n">
        <v>3127</v>
      </c>
      <c r="K39" s="25">
        <f>IF($J$39="","",$J$39/2350)</f>
        <v/>
      </c>
      <c r="L39" s="26" t="n">
        <v>0.471063829787234</v>
      </c>
      <c r="M39" s="27">
        <f>IF(K39="",H39*3.125+L39,(H39+K39)*3.125+L39)</f>
        <v/>
      </c>
      <c r="N39" s="28">
        <f>M39/F39</f>
        <v/>
      </c>
    </row>
    <row r="40" ht="28" customHeight="1">
      <c r="A40" s="11" t="n">
        <v>35</v>
      </c>
      <c r="B40" s="18" t="inlineStr">
        <is>
          <t>TUPP09</t>
        </is>
      </c>
      <c r="C40" s="11" t="inlineStr">
        <is>
          <t>PO250501</t>
        </is>
      </c>
      <c r="D40" s="30" t="inlineStr">
        <is>
          <t>28.02.26</t>
        </is>
      </c>
      <c r="E40" s="20" t="n">
        <v>1680</v>
      </c>
      <c r="F40" s="11" t="n">
        <v>12</v>
      </c>
      <c r="G40" s="21" t="inlineStr">
        <is>
          <t>טונה פאוץ' סגול מודפס 1/12 ק"ג - PU</t>
        </is>
      </c>
      <c r="H40" s="22" t="n">
        <v>38.5</v>
      </c>
      <c r="I40" s="23" t="n">
        <v>64680</v>
      </c>
      <c r="J40" s="24" t="n">
        <v>4741</v>
      </c>
      <c r="K40" s="25">
        <f>IF($J$40="","",$J$40/1680)</f>
        <v/>
      </c>
      <c r="L40" s="26" t="n">
        <v>0.6589285714285714</v>
      </c>
      <c r="M40" s="27">
        <f>IF(K40="",H40*3.125+L40,(H40+K40)*3.125+L40)</f>
        <v/>
      </c>
      <c r="N40" s="28">
        <f>M40/F40</f>
        <v/>
      </c>
    </row>
    <row r="41" ht="28" customHeight="1">
      <c r="A41" s="11" t="n">
        <v>36</v>
      </c>
      <c r="B41" s="18" t="inlineStr">
        <is>
          <t>TUC033</t>
        </is>
      </c>
      <c r="C41" s="11" t="inlineStr">
        <is>
          <t>PO250389</t>
        </is>
      </c>
      <c r="D41" s="30" t="inlineStr">
        <is>
          <t>10.03.26</t>
        </is>
      </c>
      <c r="E41" s="20" t="n">
        <v>2350</v>
      </c>
      <c r="F41" s="11" t="n">
        <v>12</v>
      </c>
      <c r="G41" s="21" t="inlineStr">
        <is>
          <t>טונה פחית 140/98 בשמן 1/48-גאיה  00</t>
        </is>
      </c>
      <c r="H41" s="22" t="n">
        <v>26.5</v>
      </c>
      <c r="I41" s="23" t="n">
        <v>62275</v>
      </c>
      <c r="J41" s="24" t="n">
        <v>3127</v>
      </c>
      <c r="K41" s="25">
        <f>IF($J$41="","",$J$41/2350)</f>
        <v/>
      </c>
      <c r="L41" s="26" t="n">
        <v>0.471063829787234</v>
      </c>
      <c r="M41" s="27">
        <f>IF(K41="",H41*3.125+L41,(H41+K41)*3.125+L41)</f>
        <v/>
      </c>
      <c r="N41" s="28">
        <f>M41/F41</f>
        <v/>
      </c>
    </row>
    <row r="42" ht="28" customHeight="1">
      <c r="A42" s="11" t="n">
        <v>37</v>
      </c>
      <c r="B42" s="18" t="inlineStr">
        <is>
          <t>TUP012</t>
        </is>
      </c>
      <c r="C42" s="11" t="inlineStr">
        <is>
          <t>PO250500</t>
        </is>
      </c>
      <c r="D42" s="30" t="inlineStr">
        <is>
          <t>10.03.26</t>
        </is>
      </c>
      <c r="E42" s="20" t="n">
        <v>1100</v>
      </c>
      <c r="F42" s="11" t="n">
        <v>12</v>
      </c>
      <c r="G42" s="21" t="inlineStr">
        <is>
          <t>טונה פאוץ' לא מודפס 3X5 N ק"ג - TUN</t>
        </is>
      </c>
      <c r="H42" s="22" t="n">
        <v>51</v>
      </c>
      <c r="I42" s="23" t="n">
        <v>56100</v>
      </c>
      <c r="J42" s="24" t="n">
        <v>3127</v>
      </c>
      <c r="K42" s="25">
        <f>IF($J$42="","",$J$42/1100)</f>
        <v/>
      </c>
      <c r="L42" s="26" t="n">
        <v>1.006363636363636</v>
      </c>
      <c r="M42" s="27">
        <f>IF(K42="",H42*3.125+L42,(H42+K42)*3.125+L42)</f>
        <v/>
      </c>
      <c r="N42" s="28">
        <f>M42/F42</f>
        <v/>
      </c>
    </row>
    <row r="43" ht="28" customHeight="1">
      <c r="A43" s="11" t="n">
        <v>38</v>
      </c>
      <c r="B43" s="18" t="inlineStr">
        <is>
          <t>TUC057</t>
        </is>
      </c>
      <c r="C43" s="11" t="inlineStr">
        <is>
          <t>PO250484</t>
        </is>
      </c>
      <c r="D43" s="30" t="inlineStr">
        <is>
          <t>15.03.26</t>
        </is>
      </c>
      <c r="E43" s="20" t="n">
        <v>1980</v>
      </c>
      <c r="F43" s="11" t="n">
        <v>12</v>
      </c>
      <c r="G43" s="21" t="inlineStr">
        <is>
          <t>טונה פחית 80/56 גרם 1/48 י'ח 003</t>
        </is>
      </c>
      <c r="H43" s="22" t="n">
        <v>20.25</v>
      </c>
      <c r="I43" s="23" t="n">
        <v>40095</v>
      </c>
      <c r="J43" s="24" t="n">
        <v>3228</v>
      </c>
      <c r="K43" s="25">
        <f>IF($J$43="","",$J$43/2820)</f>
        <v/>
      </c>
      <c r="L43" s="26" t="n">
        <v>0.3925531914893617</v>
      </c>
      <c r="M43" s="27">
        <f>IF(K43="",H43*3.125+L43,(H43+K43)*3.125+L43)</f>
        <v/>
      </c>
      <c r="N43" s="28">
        <f>M43/F43</f>
        <v/>
      </c>
    </row>
    <row r="44" ht="28" customHeight="1">
      <c r="A44" s="11" t="n">
        <v>39</v>
      </c>
      <c r="B44" s="18" t="inlineStr">
        <is>
          <t>TUP040</t>
        </is>
      </c>
      <c r="C44" s="11" t="inlineStr">
        <is>
          <t>PO250484</t>
        </is>
      </c>
      <c r="D44" s="30" t="inlineStr">
        <is>
          <t>15.03.26</t>
        </is>
      </c>
      <c r="E44" s="20" t="n">
        <v>840</v>
      </c>
      <c r="F44" s="11" t="n">
        <v>12</v>
      </c>
      <c r="G44" s="21" t="inlineStr">
        <is>
          <t>טונה פאוץ  705/670 גרם 1/18 יח'</t>
        </is>
      </c>
      <c r="H44" s="22" t="n">
        <v>58.5</v>
      </c>
      <c r="I44" s="23" t="n">
        <v>49140</v>
      </c>
      <c r="J44" s="29">
        <f>$J$43</f>
        <v/>
      </c>
      <c r="K44" s="25">
        <f>IF($J$43="","",$J$43/2820)</f>
        <v/>
      </c>
      <c r="L44" s="26" t="n">
        <v>0.3925531914893617</v>
      </c>
      <c r="M44" s="27">
        <f>IF(K44="",H44*3.125+L44,(H44+K44)*3.125+L44)</f>
        <v/>
      </c>
      <c r="N44" s="28">
        <f>M44/F44</f>
        <v/>
      </c>
    </row>
    <row r="45" ht="28" customHeight="1">
      <c r="A45" s="11" t="n">
        <v>40</v>
      </c>
      <c r="B45" s="18" t="inlineStr">
        <is>
          <t>TUC016</t>
        </is>
      </c>
      <c r="C45" s="11" t="inlineStr">
        <is>
          <t>PO250502</t>
        </is>
      </c>
      <c r="D45" s="30" t="inlineStr">
        <is>
          <t>15.03.26</t>
        </is>
      </c>
      <c r="E45" s="20" t="n">
        <v>2350</v>
      </c>
      <c r="F45" s="11" t="n">
        <v>12</v>
      </c>
      <c r="G45" s="21" t="inlineStr">
        <is>
          <t>טונה פחית 140/98 גרם 002 (רבעיות )4</t>
        </is>
      </c>
      <c r="H45" s="22" t="n">
        <v>26.5</v>
      </c>
      <c r="I45" s="23" t="n">
        <v>62275</v>
      </c>
      <c r="J45" s="24" t="n">
        <v>3228</v>
      </c>
      <c r="K45" s="25">
        <f>IF($J$45="","",$J$45/2350)</f>
        <v/>
      </c>
      <c r="L45" s="26" t="n">
        <v>0.471063829787234</v>
      </c>
      <c r="M45" s="27">
        <f>IF(K45="",H45*3.125+L45,(H45+K45)*3.125+L45)</f>
        <v/>
      </c>
      <c r="N45" s="28">
        <f>M45/F45</f>
        <v/>
      </c>
    </row>
    <row r="46">
      <c r="A46" s="10" t="inlineStr">
        <is>
          <t>סה"כ</t>
        </is>
      </c>
      <c r="B46" s="31" t="n"/>
      <c r="C46" s="31" t="n"/>
      <c r="D46" s="31" t="n"/>
      <c r="E46" s="32">
        <f>SUM(E6:E45)</f>
        <v/>
      </c>
      <c r="F46" s="31" t="n"/>
      <c r="G46" s="31" t="n"/>
      <c r="H46" s="31" t="n"/>
      <c r="I46" s="33">
        <f>SUM(I6:I45)</f>
        <v/>
      </c>
      <c r="J46" s="31" t="n"/>
      <c r="K46" s="31" t="n"/>
      <c r="L46" s="31" t="n"/>
      <c r="M46" s="31" t="n"/>
      <c r="N46" s="31" t="n"/>
    </row>
    <row r="48">
      <c r="A48" s="34" t="inlineStr">
        <is>
          <t>📝 עלות סופית ליחידה = עלות נחיתה לקרטון ÷ יחידות בקרטון | 🟠 כתום = בנמל | 🟢 ירוק = באוניה</t>
        </is>
      </c>
    </row>
  </sheetData>
  <mergeCells count="4">
    <mergeCell ref="A48:N48"/>
    <mergeCell ref="A46:D46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PO240350</t>
        </is>
      </c>
    </row>
    <row r="4">
      <c r="B4" s="35" t="inlineStr">
        <is>
          <t>מספר מכולה:</t>
        </is>
      </c>
      <c r="C4" s="36" t="inlineStr">
        <is>
          <t>RFCU5071954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22.10.2024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6643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TUP022</t>
        </is>
      </c>
      <c r="D13" s="20" t="n">
        <v>1680</v>
      </c>
      <c r="E13" s="43" t="inlineStr">
        <is>
          <t>טונה גלאט פאוץ' 1/12 ק"ג  - 1000/95</t>
        </is>
      </c>
      <c r="F13" s="22" t="n">
        <v>43</v>
      </c>
      <c r="G13" s="23" t="n">
        <v>72240</v>
      </c>
      <c r="H13" s="25">
        <f>IF($C$9="","",$C$9/1680)</f>
        <v/>
      </c>
      <c r="I13" s="26" t="n">
        <v>0.6589285714285714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1,680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PO240353</t>
        </is>
      </c>
    </row>
    <row r="4">
      <c r="B4" s="35" t="inlineStr">
        <is>
          <t>מספר מכולה:</t>
        </is>
      </c>
      <c r="C4" s="36" t="inlineStr">
        <is>
          <t>ZCSU7209965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22.10.2024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6643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TUP019</t>
        </is>
      </c>
      <c r="D13" s="20" t="n">
        <v>1680</v>
      </c>
      <c r="E13" s="43" t="inlineStr">
        <is>
          <t>טונה גלאט פאוץ' 1/12 ק"ג - 1000/900</t>
        </is>
      </c>
      <c r="F13" s="22" t="n">
        <v>48.5</v>
      </c>
      <c r="G13" s="23" t="n">
        <v>81480</v>
      </c>
      <c r="H13" s="25">
        <f>IF($C$9="","",$C$9/1680)</f>
        <v/>
      </c>
      <c r="I13" s="26" t="n">
        <v>0.6589285714285714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1,680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PO250271</t>
        </is>
      </c>
    </row>
    <row r="4">
      <c r="B4" s="35" t="inlineStr">
        <is>
          <t>מספר מכולה:</t>
        </is>
      </c>
      <c r="C4" s="36" t="inlineStr">
        <is>
          <t>ZCSU7774502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17.09.2025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3228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TUC034</t>
        </is>
      </c>
      <c r="D13" s="20" t="n">
        <v>2640</v>
      </c>
      <c r="E13" s="43" t="inlineStr">
        <is>
          <t>טונה פחית 160/112 בשמן (רביעיות) 4*</t>
        </is>
      </c>
      <c r="F13" s="22" t="n">
        <v>30.25</v>
      </c>
      <c r="G13" s="23" t="n">
        <v>79860</v>
      </c>
      <c r="H13" s="25">
        <f>IF($C$9="","",$C$9/2640)</f>
        <v/>
      </c>
      <c r="I13" s="26" t="n">
        <v>0.4193181818181818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2,640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PO250272</t>
        </is>
      </c>
    </row>
    <row r="4">
      <c r="B4" s="35" t="inlineStr">
        <is>
          <t>מספר מכולה:</t>
        </is>
      </c>
      <c r="C4" s="36" t="inlineStr">
        <is>
          <t>ZCSU7570962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17.09.2025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3228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TUC034</t>
        </is>
      </c>
      <c r="D13" s="20" t="n">
        <v>2640</v>
      </c>
      <c r="E13" s="43" t="inlineStr">
        <is>
          <t>טונה פחית 160/112 בשמן (רביעיות) 4*</t>
        </is>
      </c>
      <c r="F13" s="22" t="n">
        <v>30.25</v>
      </c>
      <c r="G13" s="23" t="n">
        <v>79860</v>
      </c>
      <c r="H13" s="25">
        <f>IF($C$9="","",$C$9/2640)</f>
        <v/>
      </c>
      <c r="I13" s="26" t="n">
        <v>0.4193181818181818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2,640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PO250299</t>
        </is>
      </c>
    </row>
    <row r="4">
      <c r="B4" s="35" t="inlineStr">
        <is>
          <t>מספר מכולה:</t>
        </is>
      </c>
      <c r="C4" s="36" t="inlineStr">
        <is>
          <t>ZCSU6764686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27.10.2025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2724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TUP003</t>
        </is>
      </c>
      <c r="D13" s="20" t="n">
        <v>2016</v>
      </c>
      <c r="E13" s="43" t="inlineStr">
        <is>
          <t>טונה פאוץ' ירוק 1/12 ק"ג - GREEN TU</t>
        </is>
      </c>
      <c r="F13" s="22" t="n">
        <v>40.5</v>
      </c>
      <c r="G13" s="23" t="n">
        <v>81648</v>
      </c>
      <c r="H13" s="25">
        <f>IF($C$9="","",$C$9/2016)</f>
        <v/>
      </c>
      <c r="I13" s="26" t="n">
        <v>0.5491071428571429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2,016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PO250307</t>
        </is>
      </c>
    </row>
    <row r="4">
      <c r="B4" s="35" t="inlineStr">
        <is>
          <t>מספר מכולה:</t>
        </is>
      </c>
      <c r="C4" s="36" t="inlineStr">
        <is>
          <t>TCNU2311687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27.10.2025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2724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TUPP06</t>
        </is>
      </c>
      <c r="D13" s="20" t="n">
        <v>2016</v>
      </c>
      <c r="E13" s="43" t="inlineStr">
        <is>
          <t>טונה פאוץ' ירוק מודפס 1/12 ק"ג - GR</t>
        </is>
      </c>
      <c r="F13" s="22" t="n">
        <v>40.5</v>
      </c>
      <c r="G13" s="23" t="n">
        <v>81648</v>
      </c>
      <c r="H13" s="25">
        <f>IF($C$9="","",$C$9/2016)</f>
        <v/>
      </c>
      <c r="I13" s="26" t="n">
        <v>0.5491071428571429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2,016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PO250294</t>
        </is>
      </c>
    </row>
    <row r="4">
      <c r="B4" s="35" t="inlineStr">
        <is>
          <t>מספר מכולה:</t>
        </is>
      </c>
      <c r="C4" s="36" t="inlineStr">
        <is>
          <t>ZCSU7075341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06.11.2025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2724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TUC034</t>
        </is>
      </c>
      <c r="D13" s="20" t="n">
        <v>2640</v>
      </c>
      <c r="E13" s="43" t="inlineStr">
        <is>
          <t>טונה פחית 160/112 בשמן (רביעיות) 4*</t>
        </is>
      </c>
      <c r="F13" s="22" t="n">
        <v>30.25</v>
      </c>
      <c r="G13" s="23" t="n">
        <v>79860</v>
      </c>
      <c r="H13" s="25">
        <f>IF($C$9="","",$C$9/2640)</f>
        <v/>
      </c>
      <c r="I13" s="26" t="n">
        <v>0.4193181818181818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2,640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PO250295</t>
        </is>
      </c>
    </row>
    <row r="4">
      <c r="B4" s="35" t="inlineStr">
        <is>
          <t>מספר מכולה:</t>
        </is>
      </c>
      <c r="C4" s="36" t="inlineStr">
        <is>
          <t>ZCSU6624318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06.11.2025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2724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TUC034</t>
        </is>
      </c>
      <c r="D13" s="20" t="n">
        <v>2640</v>
      </c>
      <c r="E13" s="43" t="inlineStr">
        <is>
          <t>טונה פחית 160/112 בשמן (רביעיות) 4*</t>
        </is>
      </c>
      <c r="F13" s="22" t="n">
        <v>30.25</v>
      </c>
      <c r="G13" s="23" t="n">
        <v>79860</v>
      </c>
      <c r="H13" s="25">
        <f>IF($C$9="","",$C$9/2640)</f>
        <v/>
      </c>
      <c r="I13" s="26" t="n">
        <v>0.4193181818181818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2,640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2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PO250296</t>
        </is>
      </c>
    </row>
    <row r="4">
      <c r="B4" s="35" t="inlineStr">
        <is>
          <t>מספר מכולה:</t>
        </is>
      </c>
      <c r="C4" s="36" t="inlineStr">
        <is>
          <t>FSCU8087454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06.11.2025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2724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TUC007</t>
        </is>
      </c>
      <c r="D13" s="20" t="n">
        <v>1485</v>
      </c>
      <c r="E13" s="43" t="inlineStr">
        <is>
          <t>טונה פחית 95/68 גרם 1/48 י'ח 001</t>
        </is>
      </c>
      <c r="F13" s="22" t="n">
        <v>18.91</v>
      </c>
      <c r="G13" s="23" t="n">
        <v>28081.35</v>
      </c>
      <c r="H13" s="25">
        <f>IF($C$9="","",$C$9/2788)</f>
        <v/>
      </c>
      <c r="I13" s="26" t="n">
        <v>0.3970588235294117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TUC007</t>
        </is>
      </c>
      <c r="D14" s="20" t="n">
        <v>163</v>
      </c>
      <c r="E14" s="43" t="inlineStr">
        <is>
          <t>טונה פחית 95/68 גרם 1/48 י'ח 001</t>
        </is>
      </c>
      <c r="F14" s="22" t="n">
        <v>18.91</v>
      </c>
      <c r="G14" s="23" t="n">
        <v>3082.33</v>
      </c>
      <c r="H14" s="25">
        <f>IF($C$9="","",$C$9/2788)</f>
        <v/>
      </c>
      <c r="I14" s="26" t="n">
        <v>0.3970588235294117</v>
      </c>
      <c r="J14" s="27">
        <f>IF(H14="",F14*$C$8+I14,(F14+H14)*$C$8+I14)</f>
        <v/>
      </c>
    </row>
    <row r="15" ht="25" customHeight="1">
      <c r="B15" s="11" t="n">
        <v>3</v>
      </c>
      <c r="C15" s="11" t="inlineStr">
        <is>
          <t>TUC015</t>
        </is>
      </c>
      <c r="D15" s="20" t="n">
        <v>528</v>
      </c>
      <c r="E15" s="43" t="inlineStr">
        <is>
          <t>טונה פחית 140/98 גרם 001 (רבעיות )4</t>
        </is>
      </c>
      <c r="F15" s="22" t="n">
        <v>24.45</v>
      </c>
      <c r="G15" s="23" t="n">
        <v>12909.6</v>
      </c>
      <c r="H15" s="25">
        <f>IF($C$9="","",$C$9/2788)</f>
        <v/>
      </c>
      <c r="I15" s="26" t="n">
        <v>0.3970588235294117</v>
      </c>
      <c r="J15" s="27">
        <f>IF(H15="",F15*$C$8+I15,(F15+H15)*$C$8+I15)</f>
        <v/>
      </c>
    </row>
    <row r="16" ht="25" customHeight="1">
      <c r="B16" s="11" t="n">
        <v>4</v>
      </c>
      <c r="C16" s="11" t="inlineStr">
        <is>
          <t>TUC015</t>
        </is>
      </c>
      <c r="D16" s="20" t="n">
        <v>41</v>
      </c>
      <c r="E16" s="43" t="inlineStr">
        <is>
          <t>טונה פחית 140/98 גרם 001 (רבעיות )4</t>
        </is>
      </c>
      <c r="F16" s="22" t="n">
        <v>24.45</v>
      </c>
      <c r="G16" s="23" t="n">
        <v>1002.45</v>
      </c>
      <c r="H16" s="25">
        <f>IF($C$9="","",$C$9/2788)</f>
        <v/>
      </c>
      <c r="I16" s="26" t="n">
        <v>0.3970588235294117</v>
      </c>
      <c r="J16" s="27">
        <f>IF(H16="",F16*$C$8+I16,(F16+H16)*$C$8+I16)</f>
        <v/>
      </c>
    </row>
    <row r="17" ht="25" customHeight="1">
      <c r="B17" s="11" t="n">
        <v>5</v>
      </c>
      <c r="C17" s="11" t="inlineStr">
        <is>
          <t>TUPP06</t>
        </is>
      </c>
      <c r="D17" s="20" t="n">
        <v>504</v>
      </c>
      <c r="E17" s="43" t="inlineStr">
        <is>
          <t>טונה פאוץ' ירוק מודפס 1/12 ק"ג - GR</t>
        </is>
      </c>
      <c r="F17" s="22" t="n">
        <v>37.36</v>
      </c>
      <c r="G17" s="23" t="n">
        <v>18829.44</v>
      </c>
      <c r="H17" s="25">
        <f>IF($C$9="","",$C$9/2788)</f>
        <v/>
      </c>
      <c r="I17" s="26" t="n">
        <v>0.3970588235294117</v>
      </c>
      <c r="J17" s="27">
        <f>IF(H17="",F17*$C$8+I17,(F17+H17)*$C$8+I17)</f>
        <v/>
      </c>
    </row>
    <row r="18" ht="25" customHeight="1">
      <c r="B18" s="11" t="n">
        <v>6</v>
      </c>
      <c r="C18" s="11" t="inlineStr">
        <is>
          <t>TUPP06</t>
        </is>
      </c>
      <c r="D18" s="20" t="n">
        <v>67</v>
      </c>
      <c r="E18" s="43" t="inlineStr">
        <is>
          <t>טונה פאוץ' ירוק מודפס 1/12 ק"ג - GR</t>
        </is>
      </c>
      <c r="F18" s="22" t="n">
        <v>37.36</v>
      </c>
      <c r="G18" s="23" t="n">
        <v>2503.12</v>
      </c>
      <c r="H18" s="25">
        <f>IF($C$9="","",$C$9/2788)</f>
        <v/>
      </c>
      <c r="I18" s="26" t="n">
        <v>0.3970588235294117</v>
      </c>
      <c r="J18" s="27">
        <f>IF(H18="",F18*$C$8+I18,(F18+H18)*$C$8+I18)</f>
        <v/>
      </c>
    </row>
    <row r="19">
      <c r="B19" s="10" t="inlineStr">
        <is>
          <t>סה"כ</t>
        </is>
      </c>
      <c r="C19" s="31" t="n"/>
      <c r="D19" s="31" t="n"/>
      <c r="E19" s="31" t="n"/>
      <c r="F19" s="31" t="n"/>
      <c r="G19" s="33">
        <f>SUM(G13:G18)</f>
        <v/>
      </c>
      <c r="H19" s="31" t="n"/>
      <c r="I19" s="31" t="n"/>
      <c r="J19" s="31" t="n"/>
    </row>
    <row r="21">
      <c r="B21" s="34" t="inlineStr">
        <is>
          <t>📝 מלא הובלה בתא הצהוב ← החישובים יתעדכנו | סה"כ יחידות: 2,788</t>
        </is>
      </c>
    </row>
  </sheetData>
  <mergeCells count="5">
    <mergeCell ref="B7:J7"/>
    <mergeCell ref="B11:J11"/>
    <mergeCell ref="B19:E19"/>
    <mergeCell ref="B21:J21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PO250344</t>
        </is>
      </c>
    </row>
    <row r="4">
      <c r="B4" s="35" t="inlineStr">
        <is>
          <t>מספר מכולה:</t>
        </is>
      </c>
      <c r="C4" s="36" t="inlineStr">
        <is>
          <t>MSMU5365902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07.12.2025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2850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TUPP06</t>
        </is>
      </c>
      <c r="D13" s="20" t="n">
        <v>2016</v>
      </c>
      <c r="E13" s="43" t="inlineStr">
        <is>
          <t>טונה פאוץ' ירוק מודפס 1/12 ק"ג - GR</t>
        </is>
      </c>
      <c r="F13" s="22" t="n">
        <v>40.5</v>
      </c>
      <c r="G13" s="23" t="n">
        <v>81648</v>
      </c>
      <c r="H13" s="25">
        <f>IF($C$9="","",$C$9/2016)</f>
        <v/>
      </c>
      <c r="I13" s="26" t="n">
        <v>0.5491071428571429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2,016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PO250345</t>
        </is>
      </c>
    </row>
    <row r="4">
      <c r="B4" s="35" t="inlineStr">
        <is>
          <t>מספר מכולה:</t>
        </is>
      </c>
      <c r="C4" s="36" t="inlineStr">
        <is>
          <t>ZCSU7578454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16.12.2025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3178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TUPP06</t>
        </is>
      </c>
      <c r="D13" s="20" t="n">
        <v>2016</v>
      </c>
      <c r="E13" s="43" t="inlineStr">
        <is>
          <t>טונה פאוץ' ירוק מודפס 1/12 ק"ג - GR</t>
        </is>
      </c>
      <c r="F13" s="22" t="n">
        <v>40.5</v>
      </c>
      <c r="G13" s="23" t="n">
        <v>81648</v>
      </c>
      <c r="H13" s="25">
        <f>IF($C$9="","",$C$9/2016)</f>
        <v/>
      </c>
      <c r="I13" s="26" t="n">
        <v>0.5491071428571429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2,016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PO250346</t>
        </is>
      </c>
    </row>
    <row r="4">
      <c r="B4" s="35" t="inlineStr">
        <is>
          <t>מספר מכולה:</t>
        </is>
      </c>
      <c r="C4" s="36" t="inlineStr">
        <is>
          <t>ZCSU7951629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16.12.2025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3178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TUPP06</t>
        </is>
      </c>
      <c r="D13" s="20" t="n">
        <v>2016</v>
      </c>
      <c r="E13" s="43" t="inlineStr">
        <is>
          <t>טונה פאוץ' ירוק מודפס 1/12 ק"ג - GR</t>
        </is>
      </c>
      <c r="F13" s="22" t="n">
        <v>40.5</v>
      </c>
      <c r="G13" s="23" t="n">
        <v>81648</v>
      </c>
      <c r="H13" s="25">
        <f>IF($C$9="","",$C$9/2016)</f>
        <v/>
      </c>
      <c r="I13" s="26" t="n">
        <v>0.5491071428571429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2,016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PO250342</t>
        </is>
      </c>
    </row>
    <row r="4">
      <c r="B4" s="35" t="inlineStr">
        <is>
          <t>מספר מכולה:</t>
        </is>
      </c>
      <c r="C4" s="36" t="inlineStr">
        <is>
          <t>JXLU6429836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16.12.2025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3178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TUC052</t>
        </is>
      </c>
      <c r="D13" s="20" t="n">
        <v>3048</v>
      </c>
      <c r="E13" s="43" t="inlineStr">
        <is>
          <t>טונה פחית 140/98 גרם 003  מותג "מחנ</t>
        </is>
      </c>
      <c r="F13" s="22" t="n">
        <v>27.37</v>
      </c>
      <c r="G13" s="23" t="n">
        <v>83423.76000000001</v>
      </c>
      <c r="H13" s="25">
        <f>IF($C$9="","",$C$9/6096)</f>
        <v/>
      </c>
      <c r="I13" s="26" t="n">
        <v>0.1815944881889764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הדבקת מדבקות</t>
        </is>
      </c>
      <c r="D14" s="20" t="n">
        <v>3048</v>
      </c>
      <c r="E14" s="43" t="inlineStr">
        <is>
          <t>הדבקת מדבקות</t>
        </is>
      </c>
      <c r="F14" s="22" t="n">
        <v>1.68</v>
      </c>
      <c r="G14" s="23" t="n">
        <v>5120.639999999999</v>
      </c>
      <c r="H14" s="25">
        <f>IF($C$9="","",$C$9/6096)</f>
        <v/>
      </c>
      <c r="I14" s="26" t="n">
        <v>0.1815944881889764</v>
      </c>
      <c r="J14" s="27">
        <f>IF(H14="",F14*$C$8+I14,(F14+H14)*$C$8+I14)</f>
        <v/>
      </c>
    </row>
    <row r="15">
      <c r="B15" s="10" t="inlineStr">
        <is>
          <t>סה"כ</t>
        </is>
      </c>
      <c r="C15" s="31" t="n"/>
      <c r="D15" s="31" t="n"/>
      <c r="E15" s="31" t="n"/>
      <c r="F15" s="31" t="n"/>
      <c r="G15" s="33">
        <f>SUM(G13:G14)</f>
        <v/>
      </c>
      <c r="H15" s="31" t="n"/>
      <c r="I15" s="31" t="n"/>
      <c r="J15" s="31" t="n"/>
    </row>
    <row r="17">
      <c r="B17" s="34" t="inlineStr">
        <is>
          <t>📝 מלא הובלה בתא הצהוב ← החישובים יתעדכנו | סה"כ יחידות: 6,096</t>
        </is>
      </c>
    </row>
  </sheetData>
  <mergeCells count="5">
    <mergeCell ref="B7:J7"/>
    <mergeCell ref="B11:J11"/>
    <mergeCell ref="B15:E15"/>
    <mergeCell ref="B17:J17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1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PO250381</t>
        </is>
      </c>
    </row>
    <row r="4">
      <c r="B4" s="35" t="inlineStr">
        <is>
          <t>מספר מכולה:</t>
        </is>
      </c>
      <c r="C4" s="36" t="inlineStr">
        <is>
          <t>JXLU6177138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22.12.2025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3379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TUC032</t>
        </is>
      </c>
      <c r="D13" s="20" t="n">
        <v>1008</v>
      </c>
      <c r="E13" s="43" t="inlineStr">
        <is>
          <t xml:space="preserve">טונה GAYA פחית  1/12 - 900/670 גרם </t>
        </is>
      </c>
      <c r="F13" s="22" t="n">
        <v>43.91</v>
      </c>
      <c r="G13" s="23" t="n">
        <v>44261.28</v>
      </c>
      <c r="H13" s="25">
        <f>IF($C$9="","",$C$9/2592)</f>
        <v/>
      </c>
      <c r="I13" s="26" t="n">
        <v>0.4270833333333333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TUC004</t>
        </is>
      </c>
      <c r="D14" s="20" t="n">
        <v>1584</v>
      </c>
      <c r="E14" s="43" t="inlineStr">
        <is>
          <t>טונה פחית 140/98 גרם 003 (רבעיות)4*</t>
        </is>
      </c>
      <c r="F14" s="22" t="n">
        <v>27.62</v>
      </c>
      <c r="G14" s="23" t="n">
        <v>43750.08</v>
      </c>
      <c r="H14" s="25">
        <f>IF($C$9="","",$C$9/2592)</f>
        <v/>
      </c>
      <c r="I14" s="26" t="n">
        <v>0.4270833333333333</v>
      </c>
      <c r="J14" s="27">
        <f>IF(H14="",F14*$C$8+I14,(F14+H14)*$C$8+I14)</f>
        <v/>
      </c>
    </row>
    <row r="15">
      <c r="B15" s="10" t="inlineStr">
        <is>
          <t>סה"כ</t>
        </is>
      </c>
      <c r="C15" s="31" t="n"/>
      <c r="D15" s="31" t="n"/>
      <c r="E15" s="31" t="n"/>
      <c r="F15" s="31" t="n"/>
      <c r="G15" s="33">
        <f>SUM(G13:G14)</f>
        <v/>
      </c>
      <c r="H15" s="31" t="n"/>
      <c r="I15" s="31" t="n"/>
      <c r="J15" s="31" t="n"/>
    </row>
    <row r="17">
      <c r="B17" s="34" t="inlineStr">
        <is>
          <t>📝 מלא הובלה בתא הצהוב ← החישובים יתעדכנו | סה"כ יחידות: 2,592</t>
        </is>
      </c>
    </row>
  </sheetData>
  <mergeCells count="5">
    <mergeCell ref="B7:J7"/>
    <mergeCell ref="B11:J11"/>
    <mergeCell ref="B15:E15"/>
    <mergeCell ref="B17:J17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9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PO250428</t>
        </is>
      </c>
    </row>
    <row r="4">
      <c r="B4" s="35" t="inlineStr">
        <is>
          <t>מספר מכולה:</t>
        </is>
      </c>
      <c r="C4" s="36" t="inlineStr">
        <is>
          <t>ZCSU7511738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03.01.2026</t>
        </is>
      </c>
      <c r="E5" s="35" t="inlineStr">
        <is>
          <t>סטטוס:</t>
        </is>
      </c>
      <c r="F5" s="36" t="inlineStr">
        <is>
          <t>כנ"מ ללא BL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3934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TUC001</t>
        </is>
      </c>
      <c r="D13" s="20" t="n">
        <v>168</v>
      </c>
      <c r="E13" s="43" t="inlineStr">
        <is>
          <t xml:space="preserve">טונה פחית גאיה 1/12 -  900/670 גרם </t>
        </is>
      </c>
      <c r="F13" s="22" t="n">
        <v>38.76</v>
      </c>
      <c r="G13" s="23" t="n">
        <v>6511.679999999999</v>
      </c>
      <c r="H13" s="25">
        <f>IF($C$9="","",$C$9/1994)</f>
        <v/>
      </c>
      <c r="I13" s="26" t="n">
        <v>0.5551654964894684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TUC001</t>
        </is>
      </c>
      <c r="D14" s="20" t="n">
        <v>62</v>
      </c>
      <c r="E14" s="43" t="inlineStr">
        <is>
          <t xml:space="preserve">טונה פחית גאיה 1/12 -  900/670 גרם </t>
        </is>
      </c>
      <c r="F14" s="22" t="n">
        <v>38.76</v>
      </c>
      <c r="G14" s="23" t="n">
        <v>2403.12</v>
      </c>
      <c r="H14" s="25">
        <f>IF($C$9="","",$C$9/1994)</f>
        <v/>
      </c>
      <c r="I14" s="26" t="n">
        <v>0.5551654964894684</v>
      </c>
      <c r="J14" s="27">
        <f>IF(H14="",F14*$C$8+I14,(F14+H14)*$C$8+I14)</f>
        <v/>
      </c>
    </row>
    <row r="15" ht="25" customHeight="1">
      <c r="B15" s="11" t="n">
        <v>3</v>
      </c>
      <c r="C15" s="11" t="inlineStr">
        <is>
          <t>TUP014</t>
        </is>
      </c>
      <c r="D15" s="20" t="n">
        <v>1344</v>
      </c>
      <c r="E15" s="43" t="inlineStr">
        <is>
          <t>טונה פאוצ' ילופין 1/12 ק"ג diptuna</t>
        </is>
      </c>
      <c r="F15" s="22" t="n">
        <v>44.5</v>
      </c>
      <c r="G15" s="23" t="n">
        <v>59808</v>
      </c>
      <c r="H15" s="25">
        <f>IF($C$9="","",$C$9/1994)</f>
        <v/>
      </c>
      <c r="I15" s="26" t="n">
        <v>0.5551654964894684</v>
      </c>
      <c r="J15" s="27">
        <f>IF(H15="",F15*$C$8+I15,(F15+H15)*$C$8+I15)</f>
        <v/>
      </c>
    </row>
    <row r="16" ht="25" customHeight="1">
      <c r="B16" s="11" t="n">
        <v>4</v>
      </c>
      <c r="C16" s="11" t="inlineStr">
        <is>
          <t>TUPP01</t>
        </is>
      </c>
      <c r="D16" s="20" t="n">
        <v>420</v>
      </c>
      <c r="E16" s="43" t="inlineStr">
        <is>
          <t>טונה פאוץ' כחול מודפס 1/12 ק"ג - BL</t>
        </is>
      </c>
      <c r="F16" s="22" t="n">
        <v>47.85</v>
      </c>
      <c r="G16" s="23" t="n">
        <v>20097</v>
      </c>
      <c r="H16" s="25">
        <f>IF($C$9="","",$C$9/1994)</f>
        <v/>
      </c>
      <c r="I16" s="26" t="n">
        <v>0.5551654964894684</v>
      </c>
      <c r="J16" s="27">
        <f>IF(H16="",F16*$C$8+I16,(F16+H16)*$C$8+I16)</f>
        <v/>
      </c>
    </row>
    <row r="17">
      <c r="B17" s="10" t="inlineStr">
        <is>
          <t>סה"כ</t>
        </is>
      </c>
      <c r="C17" s="31" t="n"/>
      <c r="D17" s="31" t="n"/>
      <c r="E17" s="31" t="n"/>
      <c r="F17" s="31" t="n"/>
      <c r="G17" s="33">
        <f>SUM(G13:G16)</f>
        <v/>
      </c>
      <c r="H17" s="31" t="n"/>
      <c r="I17" s="31" t="n"/>
      <c r="J17" s="31" t="n"/>
    </row>
    <row r="19">
      <c r="B19" s="34" t="inlineStr">
        <is>
          <t>📝 מלא הובלה בתא הצהוב ← החישובים יתעדכנו | סה"כ יחידות: 1,994</t>
        </is>
      </c>
    </row>
  </sheetData>
  <mergeCells count="5">
    <mergeCell ref="B7:J7"/>
    <mergeCell ref="B11:J11"/>
    <mergeCell ref="B17:E17"/>
    <mergeCell ref="B19:J19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1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PO250476</t>
        </is>
      </c>
    </row>
    <row r="4">
      <c r="B4" s="35" t="inlineStr">
        <is>
          <t>מספר מכולה:</t>
        </is>
      </c>
      <c r="C4" s="36" t="inlineStr">
        <is>
          <t>BEAU5042963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5246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TUP039</t>
        </is>
      </c>
      <c r="D13" s="20" t="n">
        <v>1120</v>
      </c>
      <c r="E13" s="43" t="inlineStr">
        <is>
          <t>טונה פאוץ' 3X5  ק"ג - TUNA FISH בשמ</t>
        </is>
      </c>
      <c r="F13" s="22" t="n">
        <v>52.15</v>
      </c>
      <c r="G13" s="23" t="n">
        <v>58408</v>
      </c>
      <c r="H13" s="25">
        <f>IF($C$9="","",$C$9/1792)</f>
        <v/>
      </c>
      <c r="I13" s="26" t="n">
        <v>0.6177455357142857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TUP010</t>
        </is>
      </c>
      <c r="D14" s="20" t="n">
        <v>672</v>
      </c>
      <c r="E14" s="43" t="inlineStr">
        <is>
          <t>טונה GAYA פאוץ' 1/12 ק"ג  - 1000/95</t>
        </is>
      </c>
      <c r="F14" s="22" t="n">
        <v>42.71</v>
      </c>
      <c r="G14" s="23" t="n">
        <v>28701.12</v>
      </c>
      <c r="H14" s="25">
        <f>IF($C$9="","",$C$9/1792)</f>
        <v/>
      </c>
      <c r="I14" s="26" t="n">
        <v>0.6177455357142857</v>
      </c>
      <c r="J14" s="27">
        <f>IF(H14="",F14*$C$8+I14,(F14+H14)*$C$8+I14)</f>
        <v/>
      </c>
    </row>
    <row r="15">
      <c r="B15" s="10" t="inlineStr">
        <is>
          <t>סה"כ</t>
        </is>
      </c>
      <c r="C15" s="31" t="n"/>
      <c r="D15" s="31" t="n"/>
      <c r="E15" s="31" t="n"/>
      <c r="F15" s="31" t="n"/>
      <c r="G15" s="33">
        <f>SUM(G13:G14)</f>
        <v/>
      </c>
      <c r="H15" s="31" t="n"/>
      <c r="I15" s="31" t="n"/>
      <c r="J15" s="31" t="n"/>
    </row>
    <row r="17">
      <c r="B17" s="34" t="inlineStr">
        <is>
          <t>📝 מלא הובלה בתא הצהוב ← החישובים יתעדכנו | סה"כ יחידות: 1,792</t>
        </is>
      </c>
    </row>
  </sheetData>
  <mergeCells count="5">
    <mergeCell ref="B7:J7"/>
    <mergeCell ref="B11:J11"/>
    <mergeCell ref="B15:E15"/>
    <mergeCell ref="B17:J17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PO250477</t>
        </is>
      </c>
    </row>
    <row r="4">
      <c r="B4" s="35" t="inlineStr">
        <is>
          <t>מספר מכולה:</t>
        </is>
      </c>
      <c r="C4" s="36" t="inlineStr">
        <is>
          <t>ZCSU6837381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5246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TUC033</t>
        </is>
      </c>
      <c r="D13" s="20" t="n">
        <v>3072</v>
      </c>
      <c r="E13" s="43" t="inlineStr">
        <is>
          <t>טונה פחית 140/98 בשמן 1/48-גאיה  00</t>
        </is>
      </c>
      <c r="F13" s="22" t="n">
        <v>26.5</v>
      </c>
      <c r="G13" s="23" t="n">
        <v>81408</v>
      </c>
      <c r="H13" s="25">
        <f>IF($C$9="","",$C$9/3072)</f>
        <v/>
      </c>
      <c r="I13" s="26" t="n">
        <v>0.3603515625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3,072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PO250478</t>
        </is>
      </c>
    </row>
    <row r="4">
      <c r="B4" s="35" t="inlineStr">
        <is>
          <t>מספר מכולה:</t>
        </is>
      </c>
      <c r="C4" s="36" t="inlineStr">
        <is>
          <t>ZCSU7795974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5246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TUPP02</t>
        </is>
      </c>
      <c r="D13" s="20" t="n">
        <v>1680</v>
      </c>
      <c r="E13" s="43" t="inlineStr">
        <is>
          <t>טונה פאוץ' אדום מודפס 1/12 ק"ג - RE</t>
        </is>
      </c>
      <c r="F13" s="22" t="n">
        <v>46.5</v>
      </c>
      <c r="G13" s="23" t="n">
        <v>78120</v>
      </c>
      <c r="H13" s="25">
        <f>IF($C$9="","",$C$9/1680)</f>
        <v/>
      </c>
      <c r="I13" s="26" t="n">
        <v>0.6589285714285714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1,680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PO250479</t>
        </is>
      </c>
    </row>
    <row r="4">
      <c r="B4" s="35" t="inlineStr">
        <is>
          <t>מספר מכולה:</t>
        </is>
      </c>
      <c r="C4" s="36" t="inlineStr">
        <is>
          <t>TEMU6844880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5246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TUC001</t>
        </is>
      </c>
      <c r="D13" s="20" t="n">
        <v>1848</v>
      </c>
      <c r="E13" s="43" t="inlineStr">
        <is>
          <t xml:space="preserve">טונה פחית גאיה 1/12 -  900/670 גרם </t>
        </is>
      </c>
      <c r="F13" s="22" t="n">
        <v>38.5</v>
      </c>
      <c r="G13" s="23" t="n">
        <v>71148</v>
      </c>
      <c r="H13" s="25">
        <f>IF($C$9="","",$C$9/1848)</f>
        <v/>
      </c>
      <c r="I13" s="26" t="n">
        <v>0.599025974025974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1,848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J1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PO250483</t>
        </is>
      </c>
    </row>
    <row r="4">
      <c r="B4" s="35" t="inlineStr">
        <is>
          <t>מספר מכולה:</t>
        </is>
      </c>
      <c r="C4" s="36" t="inlineStr">
        <is>
          <t>ZCSU7232501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08.02.2026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5246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TUC016</t>
        </is>
      </c>
      <c r="D13" s="20" t="n">
        <v>3036</v>
      </c>
      <c r="E13" s="43" t="inlineStr">
        <is>
          <t>טונה פחית 140/98 גרם 002 (רבעיות )4</t>
        </is>
      </c>
      <c r="F13" s="22" t="n">
        <v>26.5</v>
      </c>
      <c r="G13" s="23" t="n">
        <v>80454</v>
      </c>
      <c r="H13" s="25">
        <f>IF($C$9="","",$C$9/3072)</f>
        <v/>
      </c>
      <c r="I13" s="26" t="n">
        <v>0.3603515625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TUC016</t>
        </is>
      </c>
      <c r="D14" s="20" t="n">
        <v>36</v>
      </c>
      <c r="E14" s="43" t="inlineStr">
        <is>
          <t>טונה פחית 140/98 גרם 002 (רבעיות )4</t>
        </is>
      </c>
      <c r="F14" s="22" t="n">
        <v>26.5</v>
      </c>
      <c r="G14" s="23" t="n">
        <v>954</v>
      </c>
      <c r="H14" s="25">
        <f>IF($C$9="","",$C$9/3072)</f>
        <v/>
      </c>
      <c r="I14" s="26" t="n">
        <v>0.3603515625</v>
      </c>
      <c r="J14" s="27">
        <f>IF(H14="",F14*$C$8+I14,(F14+H14)*$C$8+I14)</f>
        <v/>
      </c>
    </row>
    <row r="15">
      <c r="B15" s="10" t="inlineStr">
        <is>
          <t>סה"כ</t>
        </is>
      </c>
      <c r="C15" s="31" t="n"/>
      <c r="D15" s="31" t="n"/>
      <c r="E15" s="31" t="n"/>
      <c r="F15" s="31" t="n"/>
      <c r="G15" s="33">
        <f>SUM(G13:G14)</f>
        <v/>
      </c>
      <c r="H15" s="31" t="n"/>
      <c r="I15" s="31" t="n"/>
      <c r="J15" s="31" t="n"/>
    </row>
    <row r="17">
      <c r="B17" s="34" t="inlineStr">
        <is>
          <t>📝 מלא הובלה בתא הצהוב ← החישובים יתעדכנו | סה"כ יחידות: 3,072</t>
        </is>
      </c>
    </row>
  </sheetData>
  <mergeCells count="5">
    <mergeCell ref="B7:J7"/>
    <mergeCell ref="B11:J11"/>
    <mergeCell ref="B15:E15"/>
    <mergeCell ref="B17:J17"/>
    <mergeCell ref="B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PO250379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3127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TUP010</t>
        </is>
      </c>
      <c r="D13" s="20" t="n">
        <v>1480</v>
      </c>
      <c r="E13" s="43" t="inlineStr">
        <is>
          <t>טונה GAYA פאוץ' 1/12 ק"ג  - 1000/95</t>
        </is>
      </c>
      <c r="F13" s="22" t="n">
        <v>43</v>
      </c>
      <c r="G13" s="23" t="n">
        <v>63640</v>
      </c>
      <c r="H13" s="25">
        <f>IF($C$9="","",$C$9/1480)</f>
        <v/>
      </c>
      <c r="I13" s="26" t="n">
        <v>0.7479729729729729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1,480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PO250388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3127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TUC033</t>
        </is>
      </c>
      <c r="D13" s="20" t="n">
        <v>2350</v>
      </c>
      <c r="E13" s="43" t="inlineStr">
        <is>
          <t>טונה פחית 140/98 בשמן 1/48-גאיה  00</t>
        </is>
      </c>
      <c r="F13" s="22" t="n">
        <v>26.5</v>
      </c>
      <c r="G13" s="23" t="n">
        <v>62275</v>
      </c>
      <c r="H13" s="25">
        <f>IF($C$9="","",$C$9/2350)</f>
        <v/>
      </c>
      <c r="I13" s="26" t="n">
        <v>0.471063829787234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2,350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PO250501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28.02.2026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4741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TUPP09</t>
        </is>
      </c>
      <c r="D13" s="20" t="n">
        <v>1680</v>
      </c>
      <c r="E13" s="43" t="inlineStr">
        <is>
          <t>טונה פאוץ' סגול מודפס 1/12 ק"ג - PU</t>
        </is>
      </c>
      <c r="F13" s="22" t="n">
        <v>38.5</v>
      </c>
      <c r="G13" s="23" t="n">
        <v>64680</v>
      </c>
      <c r="H13" s="25">
        <f>IF($C$9="","",$C$9/1680)</f>
        <v/>
      </c>
      <c r="I13" s="26" t="n">
        <v>0.6589285714285714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1,680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PO250389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10.03.2026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3127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TUC033</t>
        </is>
      </c>
      <c r="D13" s="20" t="n">
        <v>2350</v>
      </c>
      <c r="E13" s="43" t="inlineStr">
        <is>
          <t>טונה פחית 140/98 בשמן 1/48-גאיה  00</t>
        </is>
      </c>
      <c r="F13" s="22" t="n">
        <v>26.5</v>
      </c>
      <c r="G13" s="23" t="n">
        <v>62275</v>
      </c>
      <c r="H13" s="25">
        <f>IF($C$9="","",$C$9/2350)</f>
        <v/>
      </c>
      <c r="I13" s="26" t="n">
        <v>0.471063829787234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2,350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PO250500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10.03.2026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3127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TUP012</t>
        </is>
      </c>
      <c r="D13" s="20" t="n">
        <v>1100</v>
      </c>
      <c r="E13" s="43" t="inlineStr">
        <is>
          <t>טונה פאוץ' לא מודפס 3X5 N ק"ג - TUN</t>
        </is>
      </c>
      <c r="F13" s="22" t="n">
        <v>51</v>
      </c>
      <c r="G13" s="23" t="n">
        <v>56100</v>
      </c>
      <c r="H13" s="25">
        <f>IF($C$9="","",$C$9/1100)</f>
        <v/>
      </c>
      <c r="I13" s="26" t="n">
        <v>1.006363636363636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1,100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J16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PO250502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15.03.2026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3228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TUC016</t>
        </is>
      </c>
      <c r="D13" s="20" t="n">
        <v>2350</v>
      </c>
      <c r="E13" s="43" t="inlineStr">
        <is>
          <t>טונה פחית 140/98 גרם 002 (רבעיות )4</t>
        </is>
      </c>
      <c r="F13" s="22" t="n">
        <v>26.5</v>
      </c>
      <c r="G13" s="23" t="n">
        <v>62275</v>
      </c>
      <c r="H13" s="25">
        <f>IF($C$9="","",$C$9/2350)</f>
        <v/>
      </c>
      <c r="I13" s="26" t="n">
        <v>0.471063829787234</v>
      </c>
      <c r="J13" s="27">
        <f>IF(H13="",F13*$C$8+I13,(F13+H13)*$C$8+I13)</f>
        <v/>
      </c>
    </row>
    <row r="14">
      <c r="B14" s="10" t="inlineStr">
        <is>
          <t>סה"כ</t>
        </is>
      </c>
      <c r="C14" s="31" t="n"/>
      <c r="D14" s="31" t="n"/>
      <c r="E14" s="31" t="n"/>
      <c r="F14" s="31" t="n"/>
      <c r="G14" s="33">
        <f>SUM(G13:G13)</f>
        <v/>
      </c>
      <c r="H14" s="31" t="n"/>
      <c r="I14" s="31" t="n"/>
      <c r="J14" s="31" t="n"/>
    </row>
    <row r="16">
      <c r="B16" s="34" t="inlineStr">
        <is>
          <t>📝 מלא הובלה בתא הצהוב ← החישובים יתעדכנו | סה"כ יחידות: 2,350</t>
        </is>
      </c>
    </row>
  </sheetData>
  <mergeCells count="5">
    <mergeCell ref="B7:J7"/>
    <mergeCell ref="B11:J11"/>
    <mergeCell ref="B16:J16"/>
    <mergeCell ref="B2:J2"/>
    <mergeCell ref="B14:E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J17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2">
      <c r="B2" s="1" t="inlineStr">
        <is>
          <t>📦 עלות נחיתה - מכולה PO250484</t>
        </is>
      </c>
    </row>
    <row r="4">
      <c r="B4" s="35" t="inlineStr">
        <is>
          <t>מספר מכולה:</t>
        </is>
      </c>
      <c r="C4" s="36" t="inlineStr">
        <is>
          <t>-</t>
        </is>
      </c>
      <c r="E4" s="35" t="inlineStr">
        <is>
          <t>ספק:</t>
        </is>
      </c>
      <c r="F4" s="36" t="inlineStr">
        <is>
          <t>Ardo Company Ltd</t>
        </is>
      </c>
    </row>
    <row r="5">
      <c r="B5" s="35" t="inlineStr">
        <is>
          <t>ETA:</t>
        </is>
      </c>
      <c r="C5" s="36" t="inlineStr">
        <is>
          <t>15.03.2026</t>
        </is>
      </c>
      <c r="E5" s="35" t="inlineStr">
        <is>
          <t>סטטוס:</t>
        </is>
      </c>
      <c r="F5" s="36" t="inlineStr">
        <is>
          <t>באוניה</t>
        </is>
      </c>
    </row>
    <row r="7">
      <c r="B7" s="37" t="inlineStr">
        <is>
          <t>⚙️ פרמטרים לחישוב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</row>
    <row r="8">
      <c r="B8" s="35" t="inlineStr">
        <is>
          <t>שער דולר:</t>
        </is>
      </c>
      <c r="C8" s="39" t="n">
        <v>3.125</v>
      </c>
      <c r="E8" s="35" t="inlineStr">
        <is>
          <t>עלות נמל (₪):</t>
        </is>
      </c>
      <c r="F8" s="40" t="n">
        <v>1107</v>
      </c>
      <c r="H8" s="35" t="inlineStr">
        <is>
          <t>מכס:</t>
        </is>
      </c>
      <c r="I8" s="36" t="inlineStr">
        <is>
          <t>0%</t>
        </is>
      </c>
    </row>
    <row r="9">
      <c r="B9" s="41" t="inlineStr">
        <is>
          <t>👇 עלות הובלה סה"כ ($):</t>
        </is>
      </c>
      <c r="C9" s="24" t="n">
        <v>3228</v>
      </c>
      <c r="E9" s="42" t="inlineStr">
        <is>
          <t>✅ מעודכן</t>
        </is>
      </c>
    </row>
    <row r="11">
      <c r="B11" s="37" t="inlineStr">
        <is>
          <t>📋 פירוט מק"טים ועלות נחיתה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</row>
    <row r="12" ht="35" customHeight="1">
      <c r="B12" s="17" t="inlineStr">
        <is>
          <t>#</t>
        </is>
      </c>
      <c r="C12" s="17" t="inlineStr">
        <is>
          <t>מק"ט</t>
        </is>
      </c>
      <c r="D12" s="17" t="inlineStr">
        <is>
          <t>כמות</t>
        </is>
      </c>
      <c r="E12" s="17" t="inlineStr">
        <is>
          <t>תיאור</t>
        </is>
      </c>
      <c r="F12" s="17" t="inlineStr">
        <is>
          <t>FOB/יח' $</t>
        </is>
      </c>
      <c r="G12" s="17" t="inlineStr">
        <is>
          <t>FOB סה"כ $</t>
        </is>
      </c>
      <c r="H12" s="17" t="inlineStr">
        <is>
          <t>הובלה/יח' $</t>
        </is>
      </c>
      <c r="I12" s="17" t="inlineStr">
        <is>
          <t>נמל/יח' ₪</t>
        </is>
      </c>
      <c r="J12" s="17" t="inlineStr">
        <is>
          <t>עלות נחיתה/יח' ₪</t>
        </is>
      </c>
    </row>
    <row r="13" ht="25" customHeight="1">
      <c r="B13" s="11" t="n">
        <v>1</v>
      </c>
      <c r="C13" s="11" t="inlineStr">
        <is>
          <t>TUC057</t>
        </is>
      </c>
      <c r="D13" s="20" t="n">
        <v>1980</v>
      </c>
      <c r="E13" s="43" t="inlineStr">
        <is>
          <t>טונה פחית 80/56 גרם 1/48 י'ח 003</t>
        </is>
      </c>
      <c r="F13" s="22" t="n">
        <v>20.25</v>
      </c>
      <c r="G13" s="23" t="n">
        <v>40095</v>
      </c>
      <c r="H13" s="25">
        <f>IF($C$9="","",$C$9/2820)</f>
        <v/>
      </c>
      <c r="I13" s="26" t="n">
        <v>0.3925531914893617</v>
      </c>
      <c r="J13" s="27">
        <f>IF(H13="",F13*$C$8+I13,(F13+H13)*$C$8+I13)</f>
        <v/>
      </c>
    </row>
    <row r="14" ht="25" customHeight="1">
      <c r="B14" s="11" t="n">
        <v>2</v>
      </c>
      <c r="C14" s="11" t="inlineStr">
        <is>
          <t>TUP040</t>
        </is>
      </c>
      <c r="D14" s="20" t="n">
        <v>840</v>
      </c>
      <c r="E14" s="43" t="inlineStr">
        <is>
          <t>טונה פאוץ  705/670 גרם 1/18 יח'</t>
        </is>
      </c>
      <c r="F14" s="22" t="n">
        <v>58.5</v>
      </c>
      <c r="G14" s="23" t="n">
        <v>49140</v>
      </c>
      <c r="H14" s="25">
        <f>IF($C$9="","",$C$9/2820)</f>
        <v/>
      </c>
      <c r="I14" s="26" t="n">
        <v>0.3925531914893617</v>
      </c>
      <c r="J14" s="27">
        <f>IF(H14="",F14*$C$8+I14,(F14+H14)*$C$8+I14)</f>
        <v/>
      </c>
    </row>
    <row r="15">
      <c r="B15" s="10" t="inlineStr">
        <is>
          <t>סה"כ</t>
        </is>
      </c>
      <c r="C15" s="31" t="n"/>
      <c r="D15" s="31" t="n"/>
      <c r="E15" s="31" t="n"/>
      <c r="F15" s="31" t="n"/>
      <c r="G15" s="33">
        <f>SUM(G13:G14)</f>
        <v/>
      </c>
      <c r="H15" s="31" t="n"/>
      <c r="I15" s="31" t="n"/>
      <c r="J15" s="31" t="n"/>
    </row>
    <row r="17">
      <c r="B17" s="34" t="inlineStr">
        <is>
          <t>📝 מלא הובלה בתא הצהוב ← החישובים יתעדכנו | סה"כ יחידות: 2,820</t>
        </is>
      </c>
    </row>
  </sheetData>
  <mergeCells count="5">
    <mergeCell ref="B7:J7"/>
    <mergeCell ref="B11:J11"/>
    <mergeCell ref="B15:E15"/>
    <mergeCell ref="B17:J1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2026-02-09T10:28:45Z</dcterms:created>
  <dcterms:modified xmlns:dcterms="http://purl.org/dc/terms/" xmlns:xsi="http://www.w3.org/2001/XMLSchema-instance" xsi:type="dcterms:W3CDTF">2026-02-09T10:30:11Z</dcterms:modified>
</cp:coreProperties>
</file>